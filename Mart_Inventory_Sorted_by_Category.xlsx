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ntory (Sort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₨ #,##0.00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1F4E79"/>
      <sz val="9"/>
    </font>
    <font>
      <name val="Calibri"/>
      <b val="1"/>
      <color rgb="00000000"/>
      <sz val="12"/>
    </font>
    <font>
      <name val="Calibri"/>
      <b val="1"/>
      <color rgb="001F4E79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AECEE"/>
        <bgColor rgb="00EAECEE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6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3" fontId="0" fillId="6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7" fillId="3" borderId="2" pivotButton="0" quotePrefix="0" xfId="0"/>
    <xf numFmtId="3" fontId="7" fillId="3" borderId="2" applyAlignment="1" pivotButton="0" quotePrefix="0" xfId="0">
      <alignment horizontal="right"/>
    </xf>
    <xf numFmtId="164" fontId="7" fillId="3" borderId="2" applyAlignment="1" pivotButton="0" quotePrefix="0" xfId="0">
      <alignment horizontal="right"/>
    </xf>
    <xf numFmtId="165" fontId="7" fillId="3" borderId="2" applyAlignment="1" pivotButton="0" quotePrefix="0" xfId="0">
      <alignment horizontal="right"/>
    </xf>
    <xf numFmtId="166" fontId="7" fillId="3" borderId="2" applyAlignment="1" pivotButton="0" quotePrefix="0" xfId="0">
      <alignment horizontal="right"/>
    </xf>
    <xf numFmtId="0" fontId="8" fillId="2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4" fontId="0" fillId="6" borderId="1" applyAlignment="1" pivotButton="0" quotePrefix="0" xfId="0">
      <alignment horizontal="right"/>
    </xf>
    <xf numFmtId="0" fontId="7" fillId="3" borderId="2" applyAlignment="1" pivotButton="0" quotePrefix="0" xfId="0">
      <alignment horizontal="right"/>
    </xf>
    <xf numFmtId="4" fontId="7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22" customWidth="1" min="4" max="4"/>
    <col width="22" customWidth="1" min="5" max="5"/>
    <col width="24" customWidth="1" min="6" max="6"/>
    <col width="16" customWidth="1" min="7" max="7"/>
  </cols>
  <sheetData>
    <row r="1">
      <c r="A1" s="1" t="inlineStr">
        <is>
          <t>MART INVENTORY &amp; VALUATION DASHBOARD</t>
        </is>
      </c>
    </row>
    <row r="2"/>
    <row r="3">
      <c r="A3" s="2" t="inlineStr">
        <is>
          <t>Automated POS Inventory Classification &amp; Category Breakdown</t>
        </is>
      </c>
    </row>
    <row r="4">
      <c r="A4" s="3" t="inlineStr">
        <is>
          <t>Total SKUs</t>
        </is>
      </c>
      <c r="B4" s="3" t="inlineStr">
        <is>
          <t>Total Stock Units</t>
        </is>
      </c>
      <c r="C4" s="3" t="inlineStr">
        <is>
          <t>Total Inventory Cost</t>
        </is>
      </c>
      <c r="D4" s="3" t="inlineStr">
        <is>
          <t>Total Retail Value</t>
        </is>
      </c>
      <c r="E4" s="3" t="inlineStr">
        <is>
          <t>Total Potential Profit</t>
        </is>
      </c>
      <c r="F4" s="3" t="inlineStr">
        <is>
          <t>Overall Margin %</t>
        </is>
      </c>
    </row>
    <row r="5">
      <c r="A5" s="4">
        <f>COUNTA('Inventory (Sorted)'!A4:A730)</f>
        <v/>
      </c>
      <c r="B5" s="5">
        <f>SUM('Inventory (Sorted)'!H4:H730)</f>
        <v/>
      </c>
      <c r="C5" s="6">
        <f>SUM('Inventory (Sorted)'!I4:I730)</f>
        <v/>
      </c>
      <c r="D5" s="6">
        <f>SUM('Inventory (Sorted)'!J4:J730)</f>
        <v/>
      </c>
      <c r="E5" s="6">
        <f>D5-C5</f>
        <v/>
      </c>
      <c r="F5" s="7">
        <f>E5/D5</f>
        <v/>
      </c>
    </row>
    <row r="6"/>
    <row r="7"/>
    <row r="8">
      <c r="A8" s="8" t="inlineStr">
        <is>
          <t>CATEGORY WISE INVENTORY BREAKDOWN</t>
        </is>
      </c>
    </row>
    <row r="9">
      <c r="A9" s="9" t="inlineStr">
        <is>
          <t>Category Group</t>
        </is>
      </c>
      <c r="B9" s="9" t="inlineStr">
        <is>
          <t>SKU Count</t>
        </is>
      </c>
      <c r="C9" s="9" t="inlineStr">
        <is>
          <t>Total Units</t>
        </is>
      </c>
      <c r="D9" s="9" t="inlineStr">
        <is>
          <t>Total Cost (PKR)</t>
        </is>
      </c>
      <c r="E9" s="9" t="inlineStr">
        <is>
          <t>Total Retail (PKR)</t>
        </is>
      </c>
      <c r="F9" s="9" t="inlineStr">
        <is>
          <t>Projected Margin (PKR)</t>
        </is>
      </c>
      <c r="G9" s="9" t="inlineStr">
        <is>
          <t>Margin %</t>
        </is>
      </c>
    </row>
    <row r="10">
      <c r="A10" s="10" t="inlineStr">
        <is>
          <t>Store Assets &amp; Equipment</t>
        </is>
      </c>
      <c r="B10" s="11">
        <f>COUNTIF('Inventory (Sorted)'!$C$4:$C$730, "Store Assets &amp; Equipment")</f>
        <v/>
      </c>
      <c r="C10" s="12">
        <f>SUMIF('Inventory (Sorted)'!$C$4:$C$730, "Store Assets &amp; Equipment", 'Inventory (Sorted)'!$H$4:$H$730)</f>
        <v/>
      </c>
      <c r="D10" s="13">
        <f>SUMIF('Inventory (Sorted)'!$C$4:$C$730, "Store Assets &amp; Equipment", 'Inventory (Sorted)'!$I$4:$I$730)</f>
        <v/>
      </c>
      <c r="E10" s="13">
        <f>SUMIF('Inventory (Sorted)'!$C$4:$C$730, "Store Assets &amp; Equipment", 'Inventory (Sorted)'!$J$4:$J$730)</f>
        <v/>
      </c>
      <c r="F10" s="13">
        <f>E10-D10</f>
        <v/>
      </c>
      <c r="G10" s="14">
        <f>IF(E10&gt;0, F10/E10, 0)</f>
        <v/>
      </c>
    </row>
    <row r="11">
      <c r="A11" s="15" t="inlineStr">
        <is>
          <t>Beverages &amp; Juices</t>
        </is>
      </c>
      <c r="B11" s="16">
        <f>COUNTIF('Inventory (Sorted)'!$C$4:$C$730, "Beverages &amp; Juices")</f>
        <v/>
      </c>
      <c r="C11" s="17">
        <f>SUMIF('Inventory (Sorted)'!$C$4:$C$730, "Beverages &amp; Juices", 'Inventory (Sorted)'!$H$4:$H$730)</f>
        <v/>
      </c>
      <c r="D11" s="18">
        <f>SUMIF('Inventory (Sorted)'!$C$4:$C$730, "Beverages &amp; Juices", 'Inventory (Sorted)'!$I$4:$I$730)</f>
        <v/>
      </c>
      <c r="E11" s="18">
        <f>SUMIF('Inventory (Sorted)'!$C$4:$C$730, "Beverages &amp; Juices", 'Inventory (Sorted)'!$J$4:$J$730)</f>
        <v/>
      </c>
      <c r="F11" s="18">
        <f>E11-D11</f>
        <v/>
      </c>
      <c r="G11" s="19">
        <f>IF(E11&gt;0, F11/E11, 0)</f>
        <v/>
      </c>
    </row>
    <row r="12">
      <c r="A12" s="10" t="inlineStr">
        <is>
          <t>Cooking Oil &amp; Ghee</t>
        </is>
      </c>
      <c r="B12" s="11">
        <f>COUNTIF('Inventory (Sorted)'!$C$4:$C$730, "Cooking Oil &amp; Ghee")</f>
        <v/>
      </c>
      <c r="C12" s="12">
        <f>SUMIF('Inventory (Sorted)'!$C$4:$C$730, "Cooking Oil &amp; Ghee", 'Inventory (Sorted)'!$H$4:$H$730)</f>
        <v/>
      </c>
      <c r="D12" s="13">
        <f>SUMIF('Inventory (Sorted)'!$C$4:$C$730, "Cooking Oil &amp; Ghee", 'Inventory (Sorted)'!$I$4:$I$730)</f>
        <v/>
      </c>
      <c r="E12" s="13">
        <f>SUMIF('Inventory (Sorted)'!$C$4:$C$730, "Cooking Oil &amp; Ghee", 'Inventory (Sorted)'!$J$4:$J$730)</f>
        <v/>
      </c>
      <c r="F12" s="13">
        <f>E12-D12</f>
        <v/>
      </c>
      <c r="G12" s="14">
        <f>IF(E12&gt;0, F12/E12, 0)</f>
        <v/>
      </c>
    </row>
    <row r="13">
      <c r="A13" s="15" t="inlineStr">
        <is>
          <t>Rice &amp; Staples</t>
        </is>
      </c>
      <c r="B13" s="16">
        <f>COUNTIF('Inventory (Sorted)'!$C$4:$C$730, "Rice &amp; Staples")</f>
        <v/>
      </c>
      <c r="C13" s="17">
        <f>SUMIF('Inventory (Sorted)'!$C$4:$C$730, "Rice &amp; Staples", 'Inventory (Sorted)'!$H$4:$H$730)</f>
        <v/>
      </c>
      <c r="D13" s="18">
        <f>SUMIF('Inventory (Sorted)'!$C$4:$C$730, "Rice &amp; Staples", 'Inventory (Sorted)'!$I$4:$I$730)</f>
        <v/>
      </c>
      <c r="E13" s="18">
        <f>SUMIF('Inventory (Sorted)'!$C$4:$C$730, "Rice &amp; Staples", 'Inventory (Sorted)'!$J$4:$J$730)</f>
        <v/>
      </c>
      <c r="F13" s="18">
        <f>E13-D13</f>
        <v/>
      </c>
      <c r="G13" s="19">
        <f>IF(E13&gt;0, F13/E13, 0)</f>
        <v/>
      </c>
    </row>
    <row r="14">
      <c r="A14" s="10" t="inlineStr">
        <is>
          <t>Cigarettes &amp; Tobacco</t>
        </is>
      </c>
      <c r="B14" s="11">
        <f>COUNTIF('Inventory (Sorted)'!$C$4:$C$730, "Cigarettes &amp; Tobacco")</f>
        <v/>
      </c>
      <c r="C14" s="12">
        <f>SUMIF('Inventory (Sorted)'!$C$4:$C$730, "Cigarettes &amp; Tobacco", 'Inventory (Sorted)'!$H$4:$H$730)</f>
        <v/>
      </c>
      <c r="D14" s="13">
        <f>SUMIF('Inventory (Sorted)'!$C$4:$C$730, "Cigarettes &amp; Tobacco", 'Inventory (Sorted)'!$I$4:$I$730)</f>
        <v/>
      </c>
      <c r="E14" s="13">
        <f>SUMIF('Inventory (Sorted)'!$C$4:$C$730, "Cigarettes &amp; Tobacco", 'Inventory (Sorted)'!$J$4:$J$730)</f>
        <v/>
      </c>
      <c r="F14" s="13">
        <f>E14-D14</f>
        <v/>
      </c>
      <c r="G14" s="14">
        <f>IF(E14&gt;0, F14/E14, 0)</f>
        <v/>
      </c>
    </row>
    <row r="15">
      <c r="A15" s="15" t="inlineStr">
        <is>
          <t>Energy Drinks</t>
        </is>
      </c>
      <c r="B15" s="16">
        <f>COUNTIF('Inventory (Sorted)'!$C$4:$C$730, "Energy Drinks")</f>
        <v/>
      </c>
      <c r="C15" s="17">
        <f>SUMIF('Inventory (Sorted)'!$C$4:$C$730, "Energy Drinks", 'Inventory (Sorted)'!$H$4:$H$730)</f>
        <v/>
      </c>
      <c r="D15" s="18">
        <f>SUMIF('Inventory (Sorted)'!$C$4:$C$730, "Energy Drinks", 'Inventory (Sorted)'!$I$4:$I$730)</f>
        <v/>
      </c>
      <c r="E15" s="18">
        <f>SUMIF('Inventory (Sorted)'!$C$4:$C$730, "Energy Drinks", 'Inventory (Sorted)'!$J$4:$J$730)</f>
        <v/>
      </c>
      <c r="F15" s="18">
        <f>E15-D15</f>
        <v/>
      </c>
      <c r="G15" s="19">
        <f>IF(E15&gt;0, F15/E15, 0)</f>
        <v/>
      </c>
    </row>
    <row r="16">
      <c r="A16" s="10" t="inlineStr">
        <is>
          <t>Baby Care</t>
        </is>
      </c>
      <c r="B16" s="11">
        <f>COUNTIF('Inventory (Sorted)'!$C$4:$C$730, "Baby Care")</f>
        <v/>
      </c>
      <c r="C16" s="12">
        <f>SUMIF('Inventory (Sorted)'!$C$4:$C$730, "Baby Care", 'Inventory (Sorted)'!$H$4:$H$730)</f>
        <v/>
      </c>
      <c r="D16" s="13">
        <f>SUMIF('Inventory (Sorted)'!$C$4:$C$730, "Baby Care", 'Inventory (Sorted)'!$I$4:$I$730)</f>
        <v/>
      </c>
      <c r="E16" s="13">
        <f>SUMIF('Inventory (Sorted)'!$C$4:$C$730, "Baby Care", 'Inventory (Sorted)'!$J$4:$J$730)</f>
        <v/>
      </c>
      <c r="F16" s="13">
        <f>E16-D16</f>
        <v/>
      </c>
      <c r="G16" s="14">
        <f>IF(E16&gt;0, F16/E16, 0)</f>
        <v/>
      </c>
    </row>
    <row r="17">
      <c r="A17" s="15" t="inlineStr">
        <is>
          <t>Tea &amp; Coffee</t>
        </is>
      </c>
      <c r="B17" s="16">
        <f>COUNTIF('Inventory (Sorted)'!$C$4:$C$730, "Tea &amp; Coffee")</f>
        <v/>
      </c>
      <c r="C17" s="17">
        <f>SUMIF('Inventory (Sorted)'!$C$4:$C$730, "Tea &amp; Coffee", 'Inventory (Sorted)'!$H$4:$H$730)</f>
        <v/>
      </c>
      <c r="D17" s="18">
        <f>SUMIF('Inventory (Sorted)'!$C$4:$C$730, "Tea &amp; Coffee", 'Inventory (Sorted)'!$I$4:$I$730)</f>
        <v/>
      </c>
      <c r="E17" s="18">
        <f>SUMIF('Inventory (Sorted)'!$C$4:$C$730, "Tea &amp; Coffee", 'Inventory (Sorted)'!$J$4:$J$730)</f>
        <v/>
      </c>
      <c r="F17" s="18">
        <f>E17-D17</f>
        <v/>
      </c>
      <c r="G17" s="19">
        <f>IF(E17&gt;0, F17/E17, 0)</f>
        <v/>
      </c>
    </row>
    <row r="18">
      <c r="A18" s="10" t="inlineStr">
        <is>
          <t>Grains, Atta &amp; Spices</t>
        </is>
      </c>
      <c r="B18" s="11">
        <f>COUNTIF('Inventory (Sorted)'!$C$4:$C$730, "Grains, Atta &amp; Spices")</f>
        <v/>
      </c>
      <c r="C18" s="12">
        <f>SUMIF('Inventory (Sorted)'!$C$4:$C$730, "Grains, Atta &amp; Spices", 'Inventory (Sorted)'!$H$4:$H$730)</f>
        <v/>
      </c>
      <c r="D18" s="13">
        <f>SUMIF('Inventory (Sorted)'!$C$4:$C$730, "Grains, Atta &amp; Spices", 'Inventory (Sorted)'!$I$4:$I$730)</f>
        <v/>
      </c>
      <c r="E18" s="13">
        <f>SUMIF('Inventory (Sorted)'!$C$4:$C$730, "Grains, Atta &amp; Spices", 'Inventory (Sorted)'!$J$4:$J$730)</f>
        <v/>
      </c>
      <c r="F18" s="13">
        <f>E18-D18</f>
        <v/>
      </c>
      <c r="G18" s="14">
        <f>IF(E18&gt;0, F18/E18, 0)</f>
        <v/>
      </c>
    </row>
    <row r="19">
      <c r="A19" s="15" t="inlineStr">
        <is>
          <t>Biscuits &amp; Bakery</t>
        </is>
      </c>
      <c r="B19" s="16">
        <f>COUNTIF('Inventory (Sorted)'!$C$4:$C$730, "Biscuits &amp; Bakery")</f>
        <v/>
      </c>
      <c r="C19" s="17">
        <f>SUMIF('Inventory (Sorted)'!$C$4:$C$730, "Biscuits &amp; Bakery", 'Inventory (Sorted)'!$H$4:$H$730)</f>
        <v/>
      </c>
      <c r="D19" s="18">
        <f>SUMIF('Inventory (Sorted)'!$C$4:$C$730, "Biscuits &amp; Bakery", 'Inventory (Sorted)'!$I$4:$I$730)</f>
        <v/>
      </c>
      <c r="E19" s="18">
        <f>SUMIF('Inventory (Sorted)'!$C$4:$C$730, "Biscuits &amp; Bakery", 'Inventory (Sorted)'!$J$4:$J$730)</f>
        <v/>
      </c>
      <c r="F19" s="18">
        <f>E19-D19</f>
        <v/>
      </c>
      <c r="G19" s="19">
        <f>IF(E19&gt;0, F19/E19, 0)</f>
        <v/>
      </c>
    </row>
    <row r="20">
      <c r="A20" s="10" t="inlineStr">
        <is>
          <t>Item</t>
        </is>
      </c>
      <c r="B20" s="11">
        <f>COUNTIF('Inventory (Sorted)'!$C$4:$C$730, "Item")</f>
        <v/>
      </c>
      <c r="C20" s="12">
        <f>SUMIF('Inventory (Sorted)'!$C$4:$C$730, "Item", 'Inventory (Sorted)'!$H$4:$H$730)</f>
        <v/>
      </c>
      <c r="D20" s="13">
        <f>SUMIF('Inventory (Sorted)'!$C$4:$C$730, "Item", 'Inventory (Sorted)'!$I$4:$I$730)</f>
        <v/>
      </c>
      <c r="E20" s="13">
        <f>SUMIF('Inventory (Sorted)'!$C$4:$C$730, "Item", 'Inventory (Sorted)'!$J$4:$J$730)</f>
        <v/>
      </c>
      <c r="F20" s="13">
        <f>E20-D20</f>
        <v/>
      </c>
      <c r="G20" s="14">
        <f>IF(E20&gt;0, F20/E20, 0)</f>
        <v/>
      </c>
    </row>
    <row r="21">
      <c r="A21" s="15" t="inlineStr">
        <is>
          <t>Personal Care &amp; Hygiene</t>
        </is>
      </c>
      <c r="B21" s="16">
        <f>COUNTIF('Inventory (Sorted)'!$C$4:$C$730, "Personal Care &amp; Hygiene")</f>
        <v/>
      </c>
      <c r="C21" s="17">
        <f>SUMIF('Inventory (Sorted)'!$C$4:$C$730, "Personal Care &amp; Hygiene", 'Inventory (Sorted)'!$H$4:$H$730)</f>
        <v/>
      </c>
      <c r="D21" s="18">
        <f>SUMIF('Inventory (Sorted)'!$C$4:$C$730, "Personal Care &amp; Hygiene", 'Inventory (Sorted)'!$I$4:$I$730)</f>
        <v/>
      </c>
      <c r="E21" s="18">
        <f>SUMIF('Inventory (Sorted)'!$C$4:$C$730, "Personal Care &amp; Hygiene", 'Inventory (Sorted)'!$J$4:$J$730)</f>
        <v/>
      </c>
      <c r="F21" s="18">
        <f>E21-D21</f>
        <v/>
      </c>
      <c r="G21" s="19">
        <f>IF(E21&gt;0, F21/E21, 0)</f>
        <v/>
      </c>
    </row>
    <row r="22">
      <c r="A22" s="10" t="inlineStr">
        <is>
          <t>Lentils &amp; Pulses</t>
        </is>
      </c>
      <c r="B22" s="11">
        <f>COUNTIF('Inventory (Sorted)'!$C$4:$C$730, "Lentils &amp; Pulses")</f>
        <v/>
      </c>
      <c r="C22" s="12">
        <f>SUMIF('Inventory (Sorted)'!$C$4:$C$730, "Lentils &amp; Pulses", 'Inventory (Sorted)'!$H$4:$H$730)</f>
        <v/>
      </c>
      <c r="D22" s="13">
        <f>SUMIF('Inventory (Sorted)'!$C$4:$C$730, "Lentils &amp; Pulses", 'Inventory (Sorted)'!$I$4:$I$730)</f>
        <v/>
      </c>
      <c r="E22" s="13">
        <f>SUMIF('Inventory (Sorted)'!$C$4:$C$730, "Lentils &amp; Pulses", 'Inventory (Sorted)'!$J$4:$J$730)</f>
        <v/>
      </c>
      <c r="F22" s="13">
        <f>E22-D22</f>
        <v/>
      </c>
      <c r="G22" s="14">
        <f>IF(E22&gt;0, F22/E22, 0)</f>
        <v/>
      </c>
    </row>
    <row r="23">
      <c r="A23" s="15" t="inlineStr">
        <is>
          <t>Cleaning &amp; Household</t>
        </is>
      </c>
      <c r="B23" s="16">
        <f>COUNTIF('Inventory (Sorted)'!$C$4:$C$730, "Cleaning &amp; Household")</f>
        <v/>
      </c>
      <c r="C23" s="17">
        <f>SUMIF('Inventory (Sorted)'!$C$4:$C$730, "Cleaning &amp; Household", 'Inventory (Sorted)'!$H$4:$H$730)</f>
        <v/>
      </c>
      <c r="D23" s="18">
        <f>SUMIF('Inventory (Sorted)'!$C$4:$C$730, "Cleaning &amp; Household", 'Inventory (Sorted)'!$I$4:$I$730)</f>
        <v/>
      </c>
      <c r="E23" s="18">
        <f>SUMIF('Inventory (Sorted)'!$C$4:$C$730, "Cleaning &amp; Household", 'Inventory (Sorted)'!$J$4:$J$730)</f>
        <v/>
      </c>
      <c r="F23" s="18">
        <f>E23-D23</f>
        <v/>
      </c>
      <c r="G23" s="19">
        <f>IF(E23&gt;0, F23/E23, 0)</f>
        <v/>
      </c>
    </row>
    <row r="24">
      <c r="A24" s="10" t="inlineStr">
        <is>
          <t>Cosmetics &amp; Beauty</t>
        </is>
      </c>
      <c r="B24" s="11">
        <f>COUNTIF('Inventory (Sorted)'!$C$4:$C$730, "Cosmetics &amp; Beauty")</f>
        <v/>
      </c>
      <c r="C24" s="12">
        <f>SUMIF('Inventory (Sorted)'!$C$4:$C$730, "Cosmetics &amp; Beauty", 'Inventory (Sorted)'!$H$4:$H$730)</f>
        <v/>
      </c>
      <c r="D24" s="13">
        <f>SUMIF('Inventory (Sorted)'!$C$4:$C$730, "Cosmetics &amp; Beauty", 'Inventory (Sorted)'!$I$4:$I$730)</f>
        <v/>
      </c>
      <c r="E24" s="13">
        <f>SUMIF('Inventory (Sorted)'!$C$4:$C$730, "Cosmetics &amp; Beauty", 'Inventory (Sorted)'!$J$4:$J$730)</f>
        <v/>
      </c>
      <c r="F24" s="13">
        <f>E24-D24</f>
        <v/>
      </c>
      <c r="G24" s="14">
        <f>IF(E24&gt;0, F24/E24, 0)</f>
        <v/>
      </c>
    </row>
    <row r="25">
      <c r="A25" s="15" t="inlineStr">
        <is>
          <t>Jam</t>
        </is>
      </c>
      <c r="B25" s="16">
        <f>COUNTIF('Inventory (Sorted)'!$C$4:$C$730, "Jam")</f>
        <v/>
      </c>
      <c r="C25" s="17">
        <f>SUMIF('Inventory (Sorted)'!$C$4:$C$730, "Jam", 'Inventory (Sorted)'!$H$4:$H$730)</f>
        <v/>
      </c>
      <c r="D25" s="18">
        <f>SUMIF('Inventory (Sorted)'!$C$4:$C$730, "Jam", 'Inventory (Sorted)'!$I$4:$I$730)</f>
        <v/>
      </c>
      <c r="E25" s="18">
        <f>SUMIF('Inventory (Sorted)'!$C$4:$C$730, "Jam", 'Inventory (Sorted)'!$J$4:$J$730)</f>
        <v/>
      </c>
      <c r="F25" s="18">
        <f>E25-D25</f>
        <v/>
      </c>
      <c r="G25" s="19">
        <f>IF(E25&gt;0, F25/E25, 0)</f>
        <v/>
      </c>
    </row>
    <row r="26">
      <c r="A26" s="10" t="inlineStr">
        <is>
          <t>Tissues &amp; Paper Goods</t>
        </is>
      </c>
      <c r="B26" s="11">
        <f>COUNTIF('Inventory (Sorted)'!$C$4:$C$730, "Tissues &amp; Paper Goods")</f>
        <v/>
      </c>
      <c r="C26" s="12">
        <f>SUMIF('Inventory (Sorted)'!$C$4:$C$730, "Tissues &amp; Paper Goods", 'Inventory (Sorted)'!$H$4:$H$730)</f>
        <v/>
      </c>
      <c r="D26" s="13">
        <f>SUMIF('Inventory (Sorted)'!$C$4:$C$730, "Tissues &amp; Paper Goods", 'Inventory (Sorted)'!$I$4:$I$730)</f>
        <v/>
      </c>
      <c r="E26" s="13">
        <f>SUMIF('Inventory (Sorted)'!$C$4:$C$730, "Tissues &amp; Paper Goods", 'Inventory (Sorted)'!$J$4:$J$730)</f>
        <v/>
      </c>
      <c r="F26" s="13">
        <f>E26-D26</f>
        <v/>
      </c>
      <c r="G26" s="14">
        <f>IF(E26&gt;0, F26/E26, 0)</f>
        <v/>
      </c>
    </row>
    <row r="27">
      <c r="A27" s="15" t="inlineStr">
        <is>
          <t>Milk</t>
        </is>
      </c>
      <c r="B27" s="16">
        <f>COUNTIF('Inventory (Sorted)'!$C$4:$C$730, "Milk")</f>
        <v/>
      </c>
      <c r="C27" s="17">
        <f>SUMIF('Inventory (Sorted)'!$C$4:$C$730, "Milk", 'Inventory (Sorted)'!$H$4:$H$730)</f>
        <v/>
      </c>
      <c r="D27" s="18">
        <f>SUMIF('Inventory (Sorted)'!$C$4:$C$730, "Milk", 'Inventory (Sorted)'!$I$4:$I$730)</f>
        <v/>
      </c>
      <c r="E27" s="18">
        <f>SUMIF('Inventory (Sorted)'!$C$4:$C$730, "Milk", 'Inventory (Sorted)'!$J$4:$J$730)</f>
        <v/>
      </c>
      <c r="F27" s="18">
        <f>E27-D27</f>
        <v/>
      </c>
      <c r="G27" s="19">
        <f>IF(E27&gt;0, F27/E27, 0)</f>
        <v/>
      </c>
    </row>
    <row r="28">
      <c r="A28" s="10" t="inlineStr">
        <is>
          <t>Tomato Paste</t>
        </is>
      </c>
      <c r="B28" s="11">
        <f>COUNTIF('Inventory (Sorted)'!$C$4:$C$730, "Tomato Paste")</f>
        <v/>
      </c>
      <c r="C28" s="12">
        <f>SUMIF('Inventory (Sorted)'!$C$4:$C$730, "Tomato Paste", 'Inventory (Sorted)'!$H$4:$H$730)</f>
        <v/>
      </c>
      <c r="D28" s="13">
        <f>SUMIF('Inventory (Sorted)'!$C$4:$C$730, "Tomato Paste", 'Inventory (Sorted)'!$I$4:$I$730)</f>
        <v/>
      </c>
      <c r="E28" s="13">
        <f>SUMIF('Inventory (Sorted)'!$C$4:$C$730, "Tomato Paste", 'Inventory (Sorted)'!$J$4:$J$730)</f>
        <v/>
      </c>
      <c r="F28" s="13">
        <f>E28-D28</f>
        <v/>
      </c>
      <c r="G28" s="14">
        <f>IF(E28&gt;0, F28/E28, 0)</f>
        <v/>
      </c>
    </row>
    <row r="29">
      <c r="A29" s="15" t="inlineStr">
        <is>
          <t>Snacks &amp; Nimko</t>
        </is>
      </c>
      <c r="B29" s="16">
        <f>COUNTIF('Inventory (Sorted)'!$C$4:$C$730, "Snacks &amp; Nimko")</f>
        <v/>
      </c>
      <c r="C29" s="17">
        <f>SUMIF('Inventory (Sorted)'!$C$4:$C$730, "Snacks &amp; Nimko", 'Inventory (Sorted)'!$H$4:$H$730)</f>
        <v/>
      </c>
      <c r="D29" s="18">
        <f>SUMIF('Inventory (Sorted)'!$C$4:$C$730, "Snacks &amp; Nimko", 'Inventory (Sorted)'!$I$4:$I$730)</f>
        <v/>
      </c>
      <c r="E29" s="18">
        <f>SUMIF('Inventory (Sorted)'!$C$4:$C$730, "Snacks &amp; Nimko", 'Inventory (Sorted)'!$J$4:$J$730)</f>
        <v/>
      </c>
      <c r="F29" s="18">
        <f>E29-D29</f>
        <v/>
      </c>
      <c r="G29" s="19">
        <f>IF(E29&gt;0, F29/E29, 0)</f>
        <v/>
      </c>
    </row>
    <row r="30">
      <c r="A30" s="10" t="inlineStr">
        <is>
          <t>Laundry &amp; Detergents</t>
        </is>
      </c>
      <c r="B30" s="11">
        <f>COUNTIF('Inventory (Sorted)'!$C$4:$C$730, "Laundry &amp; Detergents")</f>
        <v/>
      </c>
      <c r="C30" s="12">
        <f>SUMIF('Inventory (Sorted)'!$C$4:$C$730, "Laundry &amp; Detergents", 'Inventory (Sorted)'!$H$4:$H$730)</f>
        <v/>
      </c>
      <c r="D30" s="13">
        <f>SUMIF('Inventory (Sorted)'!$C$4:$C$730, "Laundry &amp; Detergents", 'Inventory (Sorted)'!$I$4:$I$730)</f>
        <v/>
      </c>
      <c r="E30" s="13">
        <f>SUMIF('Inventory (Sorted)'!$C$4:$C$730, "Laundry &amp; Detergents", 'Inventory (Sorted)'!$J$4:$J$730)</f>
        <v/>
      </c>
      <c r="F30" s="13">
        <f>E30-D30</f>
        <v/>
      </c>
      <c r="G30" s="14">
        <f>IF(E30&gt;0, F30/E30, 0)</f>
        <v/>
      </c>
    </row>
    <row r="31">
      <c r="A31" s="15" t="inlineStr">
        <is>
          <t>Nutrition</t>
        </is>
      </c>
      <c r="B31" s="16">
        <f>COUNTIF('Inventory (Sorted)'!$C$4:$C$730, "Nutrition")</f>
        <v/>
      </c>
      <c r="C31" s="17">
        <f>SUMIF('Inventory (Sorted)'!$C$4:$C$730, "Nutrition", 'Inventory (Sorted)'!$H$4:$H$730)</f>
        <v/>
      </c>
      <c r="D31" s="18">
        <f>SUMIF('Inventory (Sorted)'!$C$4:$C$730, "Nutrition", 'Inventory (Sorted)'!$I$4:$I$730)</f>
        <v/>
      </c>
      <c r="E31" s="18">
        <f>SUMIF('Inventory (Sorted)'!$C$4:$C$730, "Nutrition", 'Inventory (Sorted)'!$J$4:$J$730)</f>
        <v/>
      </c>
      <c r="F31" s="18">
        <f>E31-D31</f>
        <v/>
      </c>
      <c r="G31" s="19">
        <f>IF(E31&gt;0, F31/E31, 0)</f>
        <v/>
      </c>
    </row>
    <row r="32">
      <c r="A32" s="10" t="inlineStr">
        <is>
          <t>Test</t>
        </is>
      </c>
      <c r="B32" s="11">
        <f>COUNTIF('Inventory (Sorted)'!$C$4:$C$730, "Test")</f>
        <v/>
      </c>
      <c r="C32" s="12">
        <f>SUMIF('Inventory (Sorted)'!$C$4:$C$730, "Test", 'Inventory (Sorted)'!$H$4:$H$730)</f>
        <v/>
      </c>
      <c r="D32" s="13">
        <f>SUMIF('Inventory (Sorted)'!$C$4:$C$730, "Test", 'Inventory (Sorted)'!$I$4:$I$730)</f>
        <v/>
      </c>
      <c r="E32" s="13">
        <f>SUMIF('Inventory (Sorted)'!$C$4:$C$730, "Test", 'Inventory (Sorted)'!$J$4:$J$730)</f>
        <v/>
      </c>
      <c r="F32" s="13">
        <f>E32-D32</f>
        <v/>
      </c>
      <c r="G32" s="14">
        <f>IF(E32&gt;0, F32/E32, 0)</f>
        <v/>
      </c>
    </row>
    <row r="33">
      <c r="A33" s="15" t="inlineStr">
        <is>
          <t>Perfumes &amp; Body Sprays</t>
        </is>
      </c>
      <c r="B33" s="16">
        <f>COUNTIF('Inventory (Sorted)'!$C$4:$C$730, "Perfumes &amp; Body Sprays")</f>
        <v/>
      </c>
      <c r="C33" s="17">
        <f>SUMIF('Inventory (Sorted)'!$C$4:$C$730, "Perfumes &amp; Body Sprays", 'Inventory (Sorted)'!$H$4:$H$730)</f>
        <v/>
      </c>
      <c r="D33" s="18">
        <f>SUMIF('Inventory (Sorted)'!$C$4:$C$730, "Perfumes &amp; Body Sprays", 'Inventory (Sorted)'!$I$4:$I$730)</f>
        <v/>
      </c>
      <c r="E33" s="18">
        <f>SUMIF('Inventory (Sorted)'!$C$4:$C$730, "Perfumes &amp; Body Sprays", 'Inventory (Sorted)'!$J$4:$J$730)</f>
        <v/>
      </c>
      <c r="F33" s="18">
        <f>E33-D33</f>
        <v/>
      </c>
      <c r="G33" s="19">
        <f>IF(E33&gt;0, F33/E33, 0)</f>
        <v/>
      </c>
    </row>
    <row r="34">
      <c r="A34" s="10" t="inlineStr">
        <is>
          <t>Ice Cream</t>
        </is>
      </c>
      <c r="B34" s="11">
        <f>COUNTIF('Inventory (Sorted)'!$C$4:$C$730, "Ice Cream")</f>
        <v/>
      </c>
      <c r="C34" s="12">
        <f>SUMIF('Inventory (Sorted)'!$C$4:$C$730, "Ice Cream", 'Inventory (Sorted)'!$H$4:$H$730)</f>
        <v/>
      </c>
      <c r="D34" s="13">
        <f>SUMIF('Inventory (Sorted)'!$C$4:$C$730, "Ice Cream", 'Inventory (Sorted)'!$I$4:$I$730)</f>
        <v/>
      </c>
      <c r="E34" s="13">
        <f>SUMIF('Inventory (Sorted)'!$C$4:$C$730, "Ice Cream", 'Inventory (Sorted)'!$J$4:$J$730)</f>
        <v/>
      </c>
      <c r="F34" s="13">
        <f>E34-D34</f>
        <v/>
      </c>
      <c r="G34" s="14">
        <f>IF(E34&gt;0, F34/E34, 0)</f>
        <v/>
      </c>
    </row>
    <row r="35">
      <c r="A35" s="15" t="inlineStr">
        <is>
          <t>Noodles</t>
        </is>
      </c>
      <c r="B35" s="16">
        <f>COUNTIF('Inventory (Sorted)'!$C$4:$C$730, "Noodles")</f>
        <v/>
      </c>
      <c r="C35" s="17">
        <f>SUMIF('Inventory (Sorted)'!$C$4:$C$730, "Noodles", 'Inventory (Sorted)'!$H$4:$H$730)</f>
        <v/>
      </c>
      <c r="D35" s="18">
        <f>SUMIF('Inventory (Sorted)'!$C$4:$C$730, "Noodles", 'Inventory (Sorted)'!$I$4:$I$730)</f>
        <v/>
      </c>
      <c r="E35" s="18">
        <f>SUMIF('Inventory (Sorted)'!$C$4:$C$730, "Noodles", 'Inventory (Sorted)'!$J$4:$J$730)</f>
        <v/>
      </c>
      <c r="F35" s="18">
        <f>E35-D35</f>
        <v/>
      </c>
      <c r="G35" s="19">
        <f>IF(E35&gt;0, F35/E35, 0)</f>
        <v/>
      </c>
    </row>
    <row r="36">
      <c r="A36" s="10" t="inlineStr">
        <is>
          <t>Dry Fruit</t>
        </is>
      </c>
      <c r="B36" s="11">
        <f>COUNTIF('Inventory (Sorted)'!$C$4:$C$730, "Dry Fruit")</f>
        <v/>
      </c>
      <c r="C36" s="12">
        <f>SUMIF('Inventory (Sorted)'!$C$4:$C$730, "Dry Fruit", 'Inventory (Sorted)'!$H$4:$H$730)</f>
        <v/>
      </c>
      <c r="D36" s="13">
        <f>SUMIF('Inventory (Sorted)'!$C$4:$C$730, "Dry Fruit", 'Inventory (Sorted)'!$I$4:$I$730)</f>
        <v/>
      </c>
      <c r="E36" s="13">
        <f>SUMIF('Inventory (Sorted)'!$C$4:$C$730, "Dry Fruit", 'Inventory (Sorted)'!$J$4:$J$730)</f>
        <v/>
      </c>
      <c r="F36" s="13">
        <f>E36-D36</f>
        <v/>
      </c>
      <c r="G36" s="14">
        <f>IF(E36&gt;0, F36/E36, 0)</f>
        <v/>
      </c>
    </row>
    <row r="37">
      <c r="A37" s="15" t="inlineStr">
        <is>
          <t>Stain Remover</t>
        </is>
      </c>
      <c r="B37" s="16">
        <f>COUNTIF('Inventory (Sorted)'!$C$4:$C$730, "Stain Remover")</f>
        <v/>
      </c>
      <c r="C37" s="17">
        <f>SUMIF('Inventory (Sorted)'!$C$4:$C$730, "Stain Remover", 'Inventory (Sorted)'!$H$4:$H$730)</f>
        <v/>
      </c>
      <c r="D37" s="18">
        <f>SUMIF('Inventory (Sorted)'!$C$4:$C$730, "Stain Remover", 'Inventory (Sorted)'!$I$4:$I$730)</f>
        <v/>
      </c>
      <c r="E37" s="18">
        <f>SUMIF('Inventory (Sorted)'!$C$4:$C$730, "Stain Remover", 'Inventory (Sorted)'!$J$4:$J$730)</f>
        <v/>
      </c>
      <c r="F37" s="18">
        <f>E37-D37</f>
        <v/>
      </c>
      <c r="G37" s="19">
        <f>IF(E37&gt;0, F37/E37, 0)</f>
        <v/>
      </c>
    </row>
    <row r="38">
      <c r="A38" s="10" t="inlineStr">
        <is>
          <t>Black Peper</t>
        </is>
      </c>
      <c r="B38" s="11">
        <f>COUNTIF('Inventory (Sorted)'!$C$4:$C$730, "Black Peper")</f>
        <v/>
      </c>
      <c r="C38" s="12">
        <f>SUMIF('Inventory (Sorted)'!$C$4:$C$730, "Black Peper", 'Inventory (Sorted)'!$H$4:$H$730)</f>
        <v/>
      </c>
      <c r="D38" s="13">
        <f>SUMIF('Inventory (Sorted)'!$C$4:$C$730, "Black Peper", 'Inventory (Sorted)'!$I$4:$I$730)</f>
        <v/>
      </c>
      <c r="E38" s="13">
        <f>SUMIF('Inventory (Sorted)'!$C$4:$C$730, "Black Peper", 'Inventory (Sorted)'!$J$4:$J$730)</f>
        <v/>
      </c>
      <c r="F38" s="13">
        <f>E38-D38</f>
        <v/>
      </c>
      <c r="G38" s="14">
        <f>IF(E38&gt;0, F38/E38, 0)</f>
        <v/>
      </c>
    </row>
    <row r="39">
      <c r="A39" s="15" t="inlineStr">
        <is>
          <t>Cream</t>
        </is>
      </c>
      <c r="B39" s="16">
        <f>COUNTIF('Inventory (Sorted)'!$C$4:$C$730, "Cream")</f>
        <v/>
      </c>
      <c r="C39" s="17">
        <f>SUMIF('Inventory (Sorted)'!$C$4:$C$730, "Cream", 'Inventory (Sorted)'!$H$4:$H$730)</f>
        <v/>
      </c>
      <c r="D39" s="18">
        <f>SUMIF('Inventory (Sorted)'!$C$4:$C$730, "Cream", 'Inventory (Sorted)'!$I$4:$I$730)</f>
        <v/>
      </c>
      <c r="E39" s="18">
        <f>SUMIF('Inventory (Sorted)'!$C$4:$C$730, "Cream", 'Inventory (Sorted)'!$J$4:$J$730)</f>
        <v/>
      </c>
      <c r="F39" s="18">
        <f>E39-D39</f>
        <v/>
      </c>
      <c r="G39" s="19">
        <f>IF(E39&gt;0, F39/E39, 0)</f>
        <v/>
      </c>
    </row>
    <row r="40">
      <c r="A40" s="10" t="inlineStr">
        <is>
          <t>Water</t>
        </is>
      </c>
      <c r="B40" s="11">
        <f>COUNTIF('Inventory (Sorted)'!$C$4:$C$730, "Water")</f>
        <v/>
      </c>
      <c r="C40" s="12">
        <f>SUMIF('Inventory (Sorted)'!$C$4:$C$730, "Water", 'Inventory (Sorted)'!$H$4:$H$730)</f>
        <v/>
      </c>
      <c r="D40" s="13">
        <f>SUMIF('Inventory (Sorted)'!$C$4:$C$730, "Water", 'Inventory (Sorted)'!$I$4:$I$730)</f>
        <v/>
      </c>
      <c r="E40" s="13">
        <f>SUMIF('Inventory (Sorted)'!$C$4:$C$730, "Water", 'Inventory (Sorted)'!$J$4:$J$730)</f>
        <v/>
      </c>
      <c r="F40" s="13">
        <f>E40-D40</f>
        <v/>
      </c>
      <c r="G40" s="14">
        <f>IF(E40&gt;0, F40/E40, 0)</f>
        <v/>
      </c>
    </row>
    <row r="41">
      <c r="A41" s="15" t="inlineStr">
        <is>
          <t>Razor</t>
        </is>
      </c>
      <c r="B41" s="16">
        <f>COUNTIF('Inventory (Sorted)'!$C$4:$C$730, "Razor")</f>
        <v/>
      </c>
      <c r="C41" s="17">
        <f>SUMIF('Inventory (Sorted)'!$C$4:$C$730, "Razor", 'Inventory (Sorted)'!$H$4:$H$730)</f>
        <v/>
      </c>
      <c r="D41" s="18">
        <f>SUMIF('Inventory (Sorted)'!$C$4:$C$730, "Razor", 'Inventory (Sorted)'!$I$4:$I$730)</f>
        <v/>
      </c>
      <c r="E41" s="18">
        <f>SUMIF('Inventory (Sorted)'!$C$4:$C$730, "Razor", 'Inventory (Sorted)'!$J$4:$J$730)</f>
        <v/>
      </c>
      <c r="F41" s="18">
        <f>E41-D41</f>
        <v/>
      </c>
      <c r="G41" s="19">
        <f>IF(E41&gt;0, F41/E41, 0)</f>
        <v/>
      </c>
    </row>
    <row r="42">
      <c r="A42" s="10" t="inlineStr">
        <is>
          <t>Chewing Gum &amp; Mints</t>
        </is>
      </c>
      <c r="B42" s="11">
        <f>COUNTIF('Inventory (Sorted)'!$C$4:$C$730, "Chewing Gum &amp; Mints")</f>
        <v/>
      </c>
      <c r="C42" s="12">
        <f>SUMIF('Inventory (Sorted)'!$C$4:$C$730, "Chewing Gum &amp; Mints", 'Inventory (Sorted)'!$H$4:$H$730)</f>
        <v/>
      </c>
      <c r="D42" s="13">
        <f>SUMIF('Inventory (Sorted)'!$C$4:$C$730, "Chewing Gum &amp; Mints", 'Inventory (Sorted)'!$I$4:$I$730)</f>
        <v/>
      </c>
      <c r="E42" s="13">
        <f>SUMIF('Inventory (Sorted)'!$C$4:$C$730, "Chewing Gum &amp; Mints", 'Inventory (Sorted)'!$J$4:$J$730)</f>
        <v/>
      </c>
      <c r="F42" s="13">
        <f>E42-D42</f>
        <v/>
      </c>
      <c r="G42" s="14">
        <f>IF(E42&gt;0, F42/E42, 0)</f>
        <v/>
      </c>
    </row>
    <row r="43">
      <c r="A43" s="15" t="inlineStr">
        <is>
          <t>Macroni</t>
        </is>
      </c>
      <c r="B43" s="16">
        <f>COUNTIF('Inventory (Sorted)'!$C$4:$C$730, "Macroni")</f>
        <v/>
      </c>
      <c r="C43" s="17">
        <f>SUMIF('Inventory (Sorted)'!$C$4:$C$730, "Macroni", 'Inventory (Sorted)'!$H$4:$H$730)</f>
        <v/>
      </c>
      <c r="D43" s="18">
        <f>SUMIF('Inventory (Sorted)'!$C$4:$C$730, "Macroni", 'Inventory (Sorted)'!$I$4:$I$730)</f>
        <v/>
      </c>
      <c r="E43" s="18">
        <f>SUMIF('Inventory (Sorted)'!$C$4:$C$730, "Macroni", 'Inventory (Sorted)'!$J$4:$J$730)</f>
        <v/>
      </c>
      <c r="F43" s="18">
        <f>E43-D43</f>
        <v/>
      </c>
      <c r="G43" s="19">
        <f>IF(E43&gt;0, F43/E43, 0)</f>
        <v/>
      </c>
    </row>
    <row r="44">
      <c r="A44" s="10" t="inlineStr">
        <is>
          <t>Mosquito Killer</t>
        </is>
      </c>
      <c r="B44" s="11">
        <f>COUNTIF('Inventory (Sorted)'!$C$4:$C$730, "Mosquito Killer")</f>
        <v/>
      </c>
      <c r="C44" s="12">
        <f>SUMIF('Inventory (Sorted)'!$C$4:$C$730, "Mosquito Killer", 'Inventory (Sorted)'!$H$4:$H$730)</f>
        <v/>
      </c>
      <c r="D44" s="13">
        <f>SUMIF('Inventory (Sorted)'!$C$4:$C$730, "Mosquito Killer", 'Inventory (Sorted)'!$I$4:$I$730)</f>
        <v/>
      </c>
      <c r="E44" s="13">
        <f>SUMIF('Inventory (Sorted)'!$C$4:$C$730, "Mosquito Killer", 'Inventory (Sorted)'!$J$4:$J$730)</f>
        <v/>
      </c>
      <c r="F44" s="13">
        <f>E44-D44</f>
        <v/>
      </c>
      <c r="G44" s="14">
        <f>IF(E44&gt;0, F44/E44, 0)</f>
        <v/>
      </c>
    </row>
    <row r="45">
      <c r="A45" s="15" t="inlineStr">
        <is>
          <t>Hair Care &amp; Colour</t>
        </is>
      </c>
      <c r="B45" s="16">
        <f>COUNTIF('Inventory (Sorted)'!$C$4:$C$730, "Hair Care &amp; Colour")</f>
        <v/>
      </c>
      <c r="C45" s="17">
        <f>SUMIF('Inventory (Sorted)'!$C$4:$C$730, "Hair Care &amp; Colour", 'Inventory (Sorted)'!$H$4:$H$730)</f>
        <v/>
      </c>
      <c r="D45" s="18">
        <f>SUMIF('Inventory (Sorted)'!$C$4:$C$730, "Hair Care &amp; Colour", 'Inventory (Sorted)'!$I$4:$I$730)</f>
        <v/>
      </c>
      <c r="E45" s="18">
        <f>SUMIF('Inventory (Sorted)'!$C$4:$C$730, "Hair Care &amp; Colour", 'Inventory (Sorted)'!$J$4:$J$730)</f>
        <v/>
      </c>
      <c r="F45" s="18">
        <f>E45-D45</f>
        <v/>
      </c>
      <c r="G45" s="19">
        <f>IF(E45&gt;0, F45/E45, 0)</f>
        <v/>
      </c>
    </row>
    <row r="46">
      <c r="A46" s="10" t="inlineStr">
        <is>
          <t>Cheese</t>
        </is>
      </c>
      <c r="B46" s="11">
        <f>COUNTIF('Inventory (Sorted)'!$C$4:$C$730, "Cheese")</f>
        <v/>
      </c>
      <c r="C46" s="12">
        <f>SUMIF('Inventory (Sorted)'!$C$4:$C$730, "Cheese", 'Inventory (Sorted)'!$H$4:$H$730)</f>
        <v/>
      </c>
      <c r="D46" s="13">
        <f>SUMIF('Inventory (Sorted)'!$C$4:$C$730, "Cheese", 'Inventory (Sorted)'!$I$4:$I$730)</f>
        <v/>
      </c>
      <c r="E46" s="13">
        <f>SUMIF('Inventory (Sorted)'!$C$4:$C$730, "Cheese", 'Inventory (Sorted)'!$J$4:$J$730)</f>
        <v/>
      </c>
      <c r="F46" s="13">
        <f>E46-D46</f>
        <v/>
      </c>
      <c r="G46" s="14">
        <f>IF(E46&gt;0, F46/E46, 0)</f>
        <v/>
      </c>
    </row>
    <row r="47">
      <c r="A47" s="15" t="inlineStr">
        <is>
          <t>Pickled</t>
        </is>
      </c>
      <c r="B47" s="16">
        <f>COUNTIF('Inventory (Sorted)'!$C$4:$C$730, "Pickled")</f>
        <v/>
      </c>
      <c r="C47" s="17">
        <f>SUMIF('Inventory (Sorted)'!$C$4:$C$730, "Pickled", 'Inventory (Sorted)'!$H$4:$H$730)</f>
        <v/>
      </c>
      <c r="D47" s="18">
        <f>SUMIF('Inventory (Sorted)'!$C$4:$C$730, "Pickled", 'Inventory (Sorted)'!$I$4:$I$730)</f>
        <v/>
      </c>
      <c r="E47" s="18">
        <f>SUMIF('Inventory (Sorted)'!$C$4:$C$730, "Pickled", 'Inventory (Sorted)'!$J$4:$J$730)</f>
        <v/>
      </c>
      <c r="F47" s="18">
        <f>E47-D47</f>
        <v/>
      </c>
      <c r="G47" s="19">
        <f>IF(E47&gt;0, F47/E47, 0)</f>
        <v/>
      </c>
    </row>
    <row r="48">
      <c r="A48" s="10" t="inlineStr">
        <is>
          <t>Qroot</t>
        </is>
      </c>
      <c r="B48" s="11">
        <f>COUNTIF('Inventory (Sorted)'!$C$4:$C$730, "Qroot")</f>
        <v/>
      </c>
      <c r="C48" s="12">
        <f>SUMIF('Inventory (Sorted)'!$C$4:$C$730, "Qroot", 'Inventory (Sorted)'!$H$4:$H$730)</f>
        <v/>
      </c>
      <c r="D48" s="13">
        <f>SUMIF('Inventory (Sorted)'!$C$4:$C$730, "Qroot", 'Inventory (Sorted)'!$I$4:$I$730)</f>
        <v/>
      </c>
      <c r="E48" s="13">
        <f>SUMIF('Inventory (Sorted)'!$C$4:$C$730, "Qroot", 'Inventory (Sorted)'!$J$4:$J$730)</f>
        <v/>
      </c>
      <c r="F48" s="13">
        <f>E48-D48</f>
        <v/>
      </c>
      <c r="G48" s="14">
        <f>IF(E48&gt;0, F48/E48, 0)</f>
        <v/>
      </c>
    </row>
    <row r="49">
      <c r="A49" s="15" t="inlineStr">
        <is>
          <t>Food</t>
        </is>
      </c>
      <c r="B49" s="16">
        <f>COUNTIF('Inventory (Sorted)'!$C$4:$C$730, "Food")</f>
        <v/>
      </c>
      <c r="C49" s="17">
        <f>SUMIF('Inventory (Sorted)'!$C$4:$C$730, "Food", 'Inventory (Sorted)'!$H$4:$H$730)</f>
        <v/>
      </c>
      <c r="D49" s="18">
        <f>SUMIF('Inventory (Sorted)'!$C$4:$C$730, "Food", 'Inventory (Sorted)'!$I$4:$I$730)</f>
        <v/>
      </c>
      <c r="E49" s="18">
        <f>SUMIF('Inventory (Sorted)'!$C$4:$C$730, "Food", 'Inventory (Sorted)'!$J$4:$J$730)</f>
        <v/>
      </c>
      <c r="F49" s="18">
        <f>E49-D49</f>
        <v/>
      </c>
      <c r="G49" s="19">
        <f>IF(E49&gt;0, F49/E49, 0)</f>
        <v/>
      </c>
    </row>
    <row r="50">
      <c r="A50" s="10" t="inlineStr">
        <is>
          <t>Oral Care</t>
        </is>
      </c>
      <c r="B50" s="11">
        <f>COUNTIF('Inventory (Sorted)'!$C$4:$C$730, "Oral Care")</f>
        <v/>
      </c>
      <c r="C50" s="12">
        <f>SUMIF('Inventory (Sorted)'!$C$4:$C$730, "Oral Care", 'Inventory (Sorted)'!$H$4:$H$730)</f>
        <v/>
      </c>
      <c r="D50" s="13">
        <f>SUMIF('Inventory (Sorted)'!$C$4:$C$730, "Oral Care", 'Inventory (Sorted)'!$I$4:$I$730)</f>
        <v/>
      </c>
      <c r="E50" s="13">
        <f>SUMIF('Inventory (Sorted)'!$C$4:$C$730, "Oral Care", 'Inventory (Sorted)'!$J$4:$J$730)</f>
        <v/>
      </c>
      <c r="F50" s="13">
        <f>E50-D50</f>
        <v/>
      </c>
      <c r="G50" s="14">
        <f>IF(E50&gt;0, F50/E50, 0)</f>
        <v/>
      </c>
    </row>
    <row r="51">
      <c r="A51" s="15" t="inlineStr">
        <is>
          <t>Drain Opener</t>
        </is>
      </c>
      <c r="B51" s="16">
        <f>COUNTIF('Inventory (Sorted)'!$C$4:$C$730, "Drain Opener")</f>
        <v/>
      </c>
      <c r="C51" s="17">
        <f>SUMIF('Inventory (Sorted)'!$C$4:$C$730, "Drain Opener", 'Inventory (Sorted)'!$H$4:$H$730)</f>
        <v/>
      </c>
      <c r="D51" s="18">
        <f>SUMIF('Inventory (Sorted)'!$C$4:$C$730, "Drain Opener", 'Inventory (Sorted)'!$I$4:$I$730)</f>
        <v/>
      </c>
      <c r="E51" s="18">
        <f>SUMIF('Inventory (Sorted)'!$C$4:$C$730, "Drain Opener", 'Inventory (Sorted)'!$J$4:$J$730)</f>
        <v/>
      </c>
      <c r="F51" s="18">
        <f>E51-D51</f>
        <v/>
      </c>
      <c r="G51" s="19">
        <f>IF(E51&gt;0, F51/E51, 0)</f>
        <v/>
      </c>
    </row>
    <row r="52">
      <c r="A52" s="10" t="inlineStr">
        <is>
          <t>White Oats</t>
        </is>
      </c>
      <c r="B52" s="11">
        <f>COUNTIF('Inventory (Sorted)'!$C$4:$C$730, "White Oats")</f>
        <v/>
      </c>
      <c r="C52" s="12">
        <f>SUMIF('Inventory (Sorted)'!$C$4:$C$730, "White Oats", 'Inventory (Sorted)'!$H$4:$H$730)</f>
        <v/>
      </c>
      <c r="D52" s="13">
        <f>SUMIF('Inventory (Sorted)'!$C$4:$C$730, "White Oats", 'Inventory (Sorted)'!$I$4:$I$730)</f>
        <v/>
      </c>
      <c r="E52" s="13">
        <f>SUMIF('Inventory (Sorted)'!$C$4:$C$730, "White Oats", 'Inventory (Sorted)'!$J$4:$J$730)</f>
        <v/>
      </c>
      <c r="F52" s="13">
        <f>E52-D52</f>
        <v/>
      </c>
      <c r="G52" s="14">
        <f>IF(E52&gt;0, F52/E52, 0)</f>
        <v/>
      </c>
    </row>
    <row r="53">
      <c r="A53" s="15" t="inlineStr">
        <is>
          <t>Spray</t>
        </is>
      </c>
      <c r="B53" s="16">
        <f>COUNTIF('Inventory (Sorted)'!$C$4:$C$730, "Spray")</f>
        <v/>
      </c>
      <c r="C53" s="17">
        <f>SUMIF('Inventory (Sorted)'!$C$4:$C$730, "Spray", 'Inventory (Sorted)'!$H$4:$H$730)</f>
        <v/>
      </c>
      <c r="D53" s="18">
        <f>SUMIF('Inventory (Sorted)'!$C$4:$C$730, "Spray", 'Inventory (Sorted)'!$I$4:$I$730)</f>
        <v/>
      </c>
      <c r="E53" s="18">
        <f>SUMIF('Inventory (Sorted)'!$C$4:$C$730, "Spray", 'Inventory (Sorted)'!$J$4:$J$730)</f>
        <v/>
      </c>
      <c r="F53" s="18">
        <f>E53-D53</f>
        <v/>
      </c>
      <c r="G53" s="19">
        <f>IF(E53&gt;0, F53/E53, 0)</f>
        <v/>
      </c>
    </row>
    <row r="54">
      <c r="A54" s="10" t="inlineStr">
        <is>
          <t>Tolit Jel</t>
        </is>
      </c>
      <c r="B54" s="11">
        <f>COUNTIF('Inventory (Sorted)'!$C$4:$C$730, "Tolit Jel")</f>
        <v/>
      </c>
      <c r="C54" s="12">
        <f>SUMIF('Inventory (Sorted)'!$C$4:$C$730, "Tolit Jel", 'Inventory (Sorted)'!$H$4:$H$730)</f>
        <v/>
      </c>
      <c r="D54" s="13">
        <f>SUMIF('Inventory (Sorted)'!$C$4:$C$730, "Tolit Jel", 'Inventory (Sorted)'!$I$4:$I$730)</f>
        <v/>
      </c>
      <c r="E54" s="13">
        <f>SUMIF('Inventory (Sorted)'!$C$4:$C$730, "Tolit Jel", 'Inventory (Sorted)'!$J$4:$J$730)</f>
        <v/>
      </c>
      <c r="F54" s="13">
        <f>E54-D54</f>
        <v/>
      </c>
      <c r="G54" s="14">
        <f>IF(E54&gt;0, F54/E54, 0)</f>
        <v/>
      </c>
    </row>
    <row r="55">
      <c r="A55" s="15" t="inlineStr">
        <is>
          <t>Marker</t>
        </is>
      </c>
      <c r="B55" s="16">
        <f>COUNTIF('Inventory (Sorted)'!$C$4:$C$730, "Marker")</f>
        <v/>
      </c>
      <c r="C55" s="17">
        <f>SUMIF('Inventory (Sorted)'!$C$4:$C$730, "Marker", 'Inventory (Sorted)'!$H$4:$H$730)</f>
        <v/>
      </c>
      <c r="D55" s="18">
        <f>SUMIF('Inventory (Sorted)'!$C$4:$C$730, "Marker", 'Inventory (Sorted)'!$I$4:$I$730)</f>
        <v/>
      </c>
      <c r="E55" s="18">
        <f>SUMIF('Inventory (Sorted)'!$C$4:$C$730, "Marker", 'Inventory (Sorted)'!$J$4:$J$730)</f>
        <v/>
      </c>
      <c r="F55" s="18">
        <f>E55-D55</f>
        <v/>
      </c>
      <c r="G55" s="19">
        <f>IF(E55&gt;0, F55/E55, 0)</f>
        <v/>
      </c>
    </row>
    <row r="56">
      <c r="A56" s="10" t="inlineStr">
        <is>
          <t>Dates</t>
        </is>
      </c>
      <c r="B56" s="11">
        <f>COUNTIF('Inventory (Sorted)'!$C$4:$C$730, "Dates")</f>
        <v/>
      </c>
      <c r="C56" s="12">
        <f>SUMIF('Inventory (Sorted)'!$C$4:$C$730, "Dates", 'Inventory (Sorted)'!$H$4:$H$730)</f>
        <v/>
      </c>
      <c r="D56" s="13">
        <f>SUMIF('Inventory (Sorted)'!$C$4:$C$730, "Dates", 'Inventory (Sorted)'!$I$4:$I$730)</f>
        <v/>
      </c>
      <c r="E56" s="13">
        <f>SUMIF('Inventory (Sorted)'!$C$4:$C$730, "Dates", 'Inventory (Sorted)'!$J$4:$J$730)</f>
        <v/>
      </c>
      <c r="F56" s="13">
        <f>E56-D56</f>
        <v/>
      </c>
      <c r="G56" s="14">
        <f>IF(E56&gt;0, F56/E56, 0)</f>
        <v/>
      </c>
    </row>
    <row r="57">
      <c r="A57" s="15" t="inlineStr">
        <is>
          <t>Glass</t>
        </is>
      </c>
      <c r="B57" s="16">
        <f>COUNTIF('Inventory (Sorted)'!$C$4:$C$730, "Glass")</f>
        <v/>
      </c>
      <c r="C57" s="17">
        <f>SUMIF('Inventory (Sorted)'!$C$4:$C$730, "Glass", 'Inventory (Sorted)'!$H$4:$H$730)</f>
        <v/>
      </c>
      <c r="D57" s="18">
        <f>SUMIF('Inventory (Sorted)'!$C$4:$C$730, "Glass", 'Inventory (Sorted)'!$I$4:$I$730)</f>
        <v/>
      </c>
      <c r="E57" s="18">
        <f>SUMIF('Inventory (Sorted)'!$C$4:$C$730, "Glass", 'Inventory (Sorted)'!$J$4:$J$730)</f>
        <v/>
      </c>
      <c r="F57" s="18">
        <f>E57-D57</f>
        <v/>
      </c>
      <c r="G57" s="19">
        <f>IF(E57&gt;0, F57/E57, 0)</f>
        <v/>
      </c>
    </row>
    <row r="58">
      <c r="A58" s="10" t="inlineStr">
        <is>
          <t>Liquid</t>
        </is>
      </c>
      <c r="B58" s="11">
        <f>COUNTIF('Inventory (Sorted)'!$C$4:$C$730, "Liquid")</f>
        <v/>
      </c>
      <c r="C58" s="12">
        <f>SUMIF('Inventory (Sorted)'!$C$4:$C$730, "Liquid", 'Inventory (Sorted)'!$H$4:$H$730)</f>
        <v/>
      </c>
      <c r="D58" s="13">
        <f>SUMIF('Inventory (Sorted)'!$C$4:$C$730, "Liquid", 'Inventory (Sorted)'!$I$4:$I$730)</f>
        <v/>
      </c>
      <c r="E58" s="13">
        <f>SUMIF('Inventory (Sorted)'!$C$4:$C$730, "Liquid", 'Inventory (Sorted)'!$J$4:$J$730)</f>
        <v/>
      </c>
      <c r="F58" s="13">
        <f>E58-D58</f>
        <v/>
      </c>
      <c r="G58" s="14">
        <f>IF(E58&gt;0, F58/E58, 0)</f>
        <v/>
      </c>
    </row>
    <row r="59">
      <c r="A59" s="15" t="inlineStr">
        <is>
          <t>Honey</t>
        </is>
      </c>
      <c r="B59" s="16">
        <f>COUNTIF('Inventory (Sorted)'!$C$4:$C$730, "Honey")</f>
        <v/>
      </c>
      <c r="C59" s="17">
        <f>SUMIF('Inventory (Sorted)'!$C$4:$C$730, "Honey", 'Inventory (Sorted)'!$H$4:$H$730)</f>
        <v/>
      </c>
      <c r="D59" s="18">
        <f>SUMIF('Inventory (Sorted)'!$C$4:$C$730, "Honey", 'Inventory (Sorted)'!$I$4:$I$730)</f>
        <v/>
      </c>
      <c r="E59" s="18">
        <f>SUMIF('Inventory (Sorted)'!$C$4:$C$730, "Honey", 'Inventory (Sorted)'!$J$4:$J$730)</f>
        <v/>
      </c>
      <c r="F59" s="18">
        <f>E59-D59</f>
        <v/>
      </c>
      <c r="G59" s="19">
        <f>IF(E59&gt;0, F59/E59, 0)</f>
        <v/>
      </c>
    </row>
    <row r="60">
      <c r="A60" s="10" t="inlineStr">
        <is>
          <t>Spaghetti</t>
        </is>
      </c>
      <c r="B60" s="11">
        <f>COUNTIF('Inventory (Sorted)'!$C$4:$C$730, "Spaghetti")</f>
        <v/>
      </c>
      <c r="C60" s="12">
        <f>SUMIF('Inventory (Sorted)'!$C$4:$C$730, "Spaghetti", 'Inventory (Sorted)'!$H$4:$H$730)</f>
        <v/>
      </c>
      <c r="D60" s="13">
        <f>SUMIF('Inventory (Sorted)'!$C$4:$C$730, "Spaghetti", 'Inventory (Sorted)'!$I$4:$I$730)</f>
        <v/>
      </c>
      <c r="E60" s="13">
        <f>SUMIF('Inventory (Sorted)'!$C$4:$C$730, "Spaghetti", 'Inventory (Sorted)'!$J$4:$J$730)</f>
        <v/>
      </c>
      <c r="F60" s="13">
        <f>E60-D60</f>
        <v/>
      </c>
      <c r="G60" s="14">
        <f>IF(E60&gt;0, F60/E60, 0)</f>
        <v/>
      </c>
    </row>
    <row r="61">
      <c r="A61" s="15" t="inlineStr">
        <is>
          <t>Confectionery &amp; Sweets</t>
        </is>
      </c>
      <c r="B61" s="16">
        <f>COUNTIF('Inventory (Sorted)'!$C$4:$C$730, "Confectionery &amp; Sweets")</f>
        <v/>
      </c>
      <c r="C61" s="17">
        <f>SUMIF('Inventory (Sorted)'!$C$4:$C$730, "Confectionery &amp; Sweets", 'Inventory (Sorted)'!$H$4:$H$730)</f>
        <v/>
      </c>
      <c r="D61" s="18">
        <f>SUMIF('Inventory (Sorted)'!$C$4:$C$730, "Confectionery &amp; Sweets", 'Inventory (Sorted)'!$I$4:$I$730)</f>
        <v/>
      </c>
      <c r="E61" s="18">
        <f>SUMIF('Inventory (Sorted)'!$C$4:$C$730, "Confectionery &amp; Sweets", 'Inventory (Sorted)'!$J$4:$J$730)</f>
        <v/>
      </c>
      <c r="F61" s="18">
        <f>E61-D61</f>
        <v/>
      </c>
      <c r="G61" s="19">
        <f>IF(E61&gt;0, F61/E61, 0)</f>
        <v/>
      </c>
    </row>
    <row r="62">
      <c r="A62" s="10" t="inlineStr">
        <is>
          <t>Masala</t>
        </is>
      </c>
      <c r="B62" s="11">
        <f>COUNTIF('Inventory (Sorted)'!$C$4:$C$730, "Masala")</f>
        <v/>
      </c>
      <c r="C62" s="12">
        <f>SUMIF('Inventory (Sorted)'!$C$4:$C$730, "Masala", 'Inventory (Sorted)'!$H$4:$H$730)</f>
        <v/>
      </c>
      <c r="D62" s="13">
        <f>SUMIF('Inventory (Sorted)'!$C$4:$C$730, "Masala", 'Inventory (Sorted)'!$I$4:$I$730)</f>
        <v/>
      </c>
      <c r="E62" s="13">
        <f>SUMIF('Inventory (Sorted)'!$C$4:$C$730, "Masala", 'Inventory (Sorted)'!$J$4:$J$730)</f>
        <v/>
      </c>
      <c r="F62" s="13">
        <f>E62-D62</f>
        <v/>
      </c>
      <c r="G62" s="14">
        <f>IF(E62&gt;0, F62/E62, 0)</f>
        <v/>
      </c>
    </row>
    <row r="63">
      <c r="A63" s="15" t="inlineStr">
        <is>
          <t>Chocolates &amp; Candy</t>
        </is>
      </c>
      <c r="B63" s="16">
        <f>COUNTIF('Inventory (Sorted)'!$C$4:$C$730, "Chocolates &amp; Candy")</f>
        <v/>
      </c>
      <c r="C63" s="17">
        <f>SUMIF('Inventory (Sorted)'!$C$4:$C$730, "Chocolates &amp; Candy", 'Inventory (Sorted)'!$H$4:$H$730)</f>
        <v/>
      </c>
      <c r="D63" s="18">
        <f>SUMIF('Inventory (Sorted)'!$C$4:$C$730, "Chocolates &amp; Candy", 'Inventory (Sorted)'!$I$4:$I$730)</f>
        <v/>
      </c>
      <c r="E63" s="18">
        <f>SUMIF('Inventory (Sorted)'!$C$4:$C$730, "Chocolates &amp; Candy", 'Inventory (Sorted)'!$J$4:$J$730)</f>
        <v/>
      </c>
      <c r="F63" s="18">
        <f>E63-D63</f>
        <v/>
      </c>
      <c r="G63" s="19">
        <f>IF(E63&gt;0, F63/E63, 0)</f>
        <v/>
      </c>
    </row>
    <row r="64">
      <c r="A64" s="10" t="inlineStr">
        <is>
          <t>Milk Powder</t>
        </is>
      </c>
      <c r="B64" s="11">
        <f>COUNTIF('Inventory (Sorted)'!$C$4:$C$730, "Milk Powder")</f>
        <v/>
      </c>
      <c r="C64" s="12">
        <f>SUMIF('Inventory (Sorted)'!$C$4:$C$730, "Milk Powder", 'Inventory (Sorted)'!$H$4:$H$730)</f>
        <v/>
      </c>
      <c r="D64" s="13">
        <f>SUMIF('Inventory (Sorted)'!$C$4:$C$730, "Milk Powder", 'Inventory (Sorted)'!$I$4:$I$730)</f>
        <v/>
      </c>
      <c r="E64" s="13">
        <f>SUMIF('Inventory (Sorted)'!$C$4:$C$730, "Milk Powder", 'Inventory (Sorted)'!$J$4:$J$730)</f>
        <v/>
      </c>
      <c r="F64" s="13">
        <f>E64-D64</f>
        <v/>
      </c>
      <c r="G64" s="14">
        <f>IF(E64&gt;0, F64/E64, 0)</f>
        <v/>
      </c>
    </row>
    <row r="65">
      <c r="A65" s="15" t="inlineStr">
        <is>
          <t>Sponge</t>
        </is>
      </c>
      <c r="B65" s="16">
        <f>COUNTIF('Inventory (Sorted)'!$C$4:$C$730, "Sponge")</f>
        <v/>
      </c>
      <c r="C65" s="17">
        <f>SUMIF('Inventory (Sorted)'!$C$4:$C$730, "Sponge", 'Inventory (Sorted)'!$H$4:$H$730)</f>
        <v/>
      </c>
      <c r="D65" s="18">
        <f>SUMIF('Inventory (Sorted)'!$C$4:$C$730, "Sponge", 'Inventory (Sorted)'!$I$4:$I$730)</f>
        <v/>
      </c>
      <c r="E65" s="18">
        <f>SUMIF('Inventory (Sorted)'!$C$4:$C$730, "Sponge", 'Inventory (Sorted)'!$J$4:$J$730)</f>
        <v/>
      </c>
      <c r="F65" s="18">
        <f>E65-D65</f>
        <v/>
      </c>
      <c r="G65" s="19">
        <f>IF(E65&gt;0, F65/E65, 0)</f>
        <v/>
      </c>
    </row>
    <row r="66">
      <c r="A66" s="10" t="inlineStr">
        <is>
          <t>Corn</t>
        </is>
      </c>
      <c r="B66" s="11">
        <f>COUNTIF('Inventory (Sorted)'!$C$4:$C$730, "Corn")</f>
        <v/>
      </c>
      <c r="C66" s="12">
        <f>SUMIF('Inventory (Sorted)'!$C$4:$C$730, "Corn", 'Inventory (Sorted)'!$H$4:$H$730)</f>
        <v/>
      </c>
      <c r="D66" s="13">
        <f>SUMIF('Inventory (Sorted)'!$C$4:$C$730, "Corn", 'Inventory (Sorted)'!$I$4:$I$730)</f>
        <v/>
      </c>
      <c r="E66" s="13">
        <f>SUMIF('Inventory (Sorted)'!$C$4:$C$730, "Corn", 'Inventory (Sorted)'!$J$4:$J$730)</f>
        <v/>
      </c>
      <c r="F66" s="13">
        <f>E66-D66</f>
        <v/>
      </c>
      <c r="G66" s="14">
        <f>IF(E66&gt;0, F66/E66, 0)</f>
        <v/>
      </c>
    </row>
    <row r="67">
      <c r="A67" s="15" t="inlineStr">
        <is>
          <t>Air Freshner</t>
        </is>
      </c>
      <c r="B67" s="16">
        <f>COUNTIF('Inventory (Sorted)'!$C$4:$C$730, "Air Freshner")</f>
        <v/>
      </c>
      <c r="C67" s="17">
        <f>SUMIF('Inventory (Sorted)'!$C$4:$C$730, "Air Freshner", 'Inventory (Sorted)'!$H$4:$H$730)</f>
        <v/>
      </c>
      <c r="D67" s="18">
        <f>SUMIF('Inventory (Sorted)'!$C$4:$C$730, "Air Freshner", 'Inventory (Sorted)'!$I$4:$I$730)</f>
        <v/>
      </c>
      <c r="E67" s="18">
        <f>SUMIF('Inventory (Sorted)'!$C$4:$C$730, "Air Freshner", 'Inventory (Sorted)'!$J$4:$J$730)</f>
        <v/>
      </c>
      <c r="F67" s="18">
        <f>E67-D67</f>
        <v/>
      </c>
      <c r="G67" s="19">
        <f>IF(E67&gt;0, F67/E67, 0)</f>
        <v/>
      </c>
    </row>
    <row r="68">
      <c r="A68" s="10" t="inlineStr">
        <is>
          <t>Hand Wash</t>
        </is>
      </c>
      <c r="B68" s="11">
        <f>COUNTIF('Inventory (Sorted)'!$C$4:$C$730, "Hand Wash")</f>
        <v/>
      </c>
      <c r="C68" s="12">
        <f>SUMIF('Inventory (Sorted)'!$C$4:$C$730, "Hand Wash", 'Inventory (Sorted)'!$H$4:$H$730)</f>
        <v/>
      </c>
      <c r="D68" s="13">
        <f>SUMIF('Inventory (Sorted)'!$C$4:$C$730, "Hand Wash", 'Inventory (Sorted)'!$I$4:$I$730)</f>
        <v/>
      </c>
      <c r="E68" s="13">
        <f>SUMIF('Inventory (Sorted)'!$C$4:$C$730, "Hand Wash", 'Inventory (Sorted)'!$J$4:$J$730)</f>
        <v/>
      </c>
      <c r="F68" s="13">
        <f>E68-D68</f>
        <v/>
      </c>
      <c r="G68" s="14">
        <f>IF(E68&gt;0, F68/E68, 0)</f>
        <v/>
      </c>
    </row>
    <row r="69">
      <c r="A69" s="15" t="inlineStr">
        <is>
          <t>Egg</t>
        </is>
      </c>
      <c r="B69" s="16">
        <f>COUNTIF('Inventory (Sorted)'!$C$4:$C$730, "Egg")</f>
        <v/>
      </c>
      <c r="C69" s="17">
        <f>SUMIF('Inventory (Sorted)'!$C$4:$C$730, "Egg", 'Inventory (Sorted)'!$H$4:$H$730)</f>
        <v/>
      </c>
      <c r="D69" s="18">
        <f>SUMIF('Inventory (Sorted)'!$C$4:$C$730, "Egg", 'Inventory (Sorted)'!$I$4:$I$730)</f>
        <v/>
      </c>
      <c r="E69" s="18">
        <f>SUMIF('Inventory (Sorted)'!$C$4:$C$730, "Egg", 'Inventory (Sorted)'!$J$4:$J$730)</f>
        <v/>
      </c>
      <c r="F69" s="18">
        <f>E69-D69</f>
        <v/>
      </c>
      <c r="G69" s="19">
        <f>IF(E69&gt;0, F69/E69, 0)</f>
        <v/>
      </c>
    </row>
    <row r="70">
      <c r="A70" s="10" t="inlineStr">
        <is>
          <t>Chana</t>
        </is>
      </c>
      <c r="B70" s="11">
        <f>COUNTIF('Inventory (Sorted)'!$C$4:$C$730, "Chana")</f>
        <v/>
      </c>
      <c r="C70" s="12">
        <f>SUMIF('Inventory (Sorted)'!$C$4:$C$730, "Chana", 'Inventory (Sorted)'!$H$4:$H$730)</f>
        <v/>
      </c>
      <c r="D70" s="13">
        <f>SUMIF('Inventory (Sorted)'!$C$4:$C$730, "Chana", 'Inventory (Sorted)'!$I$4:$I$730)</f>
        <v/>
      </c>
      <c r="E70" s="13">
        <f>SUMIF('Inventory (Sorted)'!$C$4:$C$730, "Chana", 'Inventory (Sorted)'!$J$4:$J$730)</f>
        <v/>
      </c>
      <c r="F70" s="13">
        <f>E70-D70</f>
        <v/>
      </c>
      <c r="G70" s="14">
        <f>IF(E70&gt;0, F70/E70, 0)</f>
        <v/>
      </c>
    </row>
    <row r="71">
      <c r="A71" s="15" t="inlineStr">
        <is>
          <t>Peanut</t>
        </is>
      </c>
      <c r="B71" s="16">
        <f>COUNTIF('Inventory (Sorted)'!$C$4:$C$730, "Peanut")</f>
        <v/>
      </c>
      <c r="C71" s="17">
        <f>SUMIF('Inventory (Sorted)'!$C$4:$C$730, "Peanut", 'Inventory (Sorted)'!$H$4:$H$730)</f>
        <v/>
      </c>
      <c r="D71" s="18">
        <f>SUMIF('Inventory (Sorted)'!$C$4:$C$730, "Peanut", 'Inventory (Sorted)'!$I$4:$I$730)</f>
        <v/>
      </c>
      <c r="E71" s="18">
        <f>SUMIF('Inventory (Sorted)'!$C$4:$C$730, "Peanut", 'Inventory (Sorted)'!$J$4:$J$730)</f>
        <v/>
      </c>
      <c r="F71" s="18">
        <f>E71-D71</f>
        <v/>
      </c>
      <c r="G71" s="19">
        <f>IF(E71&gt;0, F71/E71, 0)</f>
        <v/>
      </c>
    </row>
    <row r="72">
      <c r="A72" s="10" t="inlineStr">
        <is>
          <t>Lock</t>
        </is>
      </c>
      <c r="B72" s="11">
        <f>COUNTIF('Inventory (Sorted)'!$C$4:$C$730, "Lock")</f>
        <v/>
      </c>
      <c r="C72" s="12">
        <f>SUMIF('Inventory (Sorted)'!$C$4:$C$730, "Lock", 'Inventory (Sorted)'!$H$4:$H$730)</f>
        <v/>
      </c>
      <c r="D72" s="13">
        <f>SUMIF('Inventory (Sorted)'!$C$4:$C$730, "Lock", 'Inventory (Sorted)'!$I$4:$I$730)</f>
        <v/>
      </c>
      <c r="E72" s="13">
        <f>SUMIF('Inventory (Sorted)'!$C$4:$C$730, "Lock", 'Inventory (Sorted)'!$J$4:$J$730)</f>
        <v/>
      </c>
      <c r="F72" s="13">
        <f>E72-D72</f>
        <v/>
      </c>
      <c r="G72" s="14">
        <f>IF(E72&gt;0, F72/E72, 0)</f>
        <v/>
      </c>
    </row>
    <row r="73">
      <c r="A73" s="15" t="inlineStr">
        <is>
          <t>Tuna Fish</t>
        </is>
      </c>
      <c r="B73" s="16">
        <f>COUNTIF('Inventory (Sorted)'!$C$4:$C$730, "Tuna Fish")</f>
        <v/>
      </c>
      <c r="C73" s="17">
        <f>SUMIF('Inventory (Sorted)'!$C$4:$C$730, "Tuna Fish", 'Inventory (Sorted)'!$H$4:$H$730)</f>
        <v/>
      </c>
      <c r="D73" s="18">
        <f>SUMIF('Inventory (Sorted)'!$C$4:$C$730, "Tuna Fish", 'Inventory (Sorted)'!$I$4:$I$730)</f>
        <v/>
      </c>
      <c r="E73" s="18">
        <f>SUMIF('Inventory (Sorted)'!$C$4:$C$730, "Tuna Fish", 'Inventory (Sorted)'!$J$4:$J$730)</f>
        <v/>
      </c>
      <c r="F73" s="18">
        <f>E73-D73</f>
        <v/>
      </c>
      <c r="G73" s="19">
        <f>IF(E73&gt;0, F73/E73, 0)</f>
        <v/>
      </c>
    </row>
    <row r="74">
      <c r="A74" s="10" t="inlineStr">
        <is>
          <t>Neel</t>
        </is>
      </c>
      <c r="B74" s="11">
        <f>COUNTIF('Inventory (Sorted)'!$C$4:$C$730, "Neel")</f>
        <v/>
      </c>
      <c r="C74" s="12">
        <f>SUMIF('Inventory (Sorted)'!$C$4:$C$730, "Neel", 'Inventory (Sorted)'!$H$4:$H$730)</f>
        <v/>
      </c>
      <c r="D74" s="13">
        <f>SUMIF('Inventory (Sorted)'!$C$4:$C$730, "Neel", 'Inventory (Sorted)'!$I$4:$I$730)</f>
        <v/>
      </c>
      <c r="E74" s="13">
        <f>SUMIF('Inventory (Sorted)'!$C$4:$C$730, "Neel", 'Inventory (Sorted)'!$J$4:$J$730)</f>
        <v/>
      </c>
      <c r="F74" s="13">
        <f>E74-D74</f>
        <v/>
      </c>
      <c r="G74" s="14">
        <f>IF(E74&gt;0, F74/E74, 0)</f>
        <v/>
      </c>
    </row>
    <row r="75">
      <c r="A75" s="15" t="inlineStr">
        <is>
          <t>Safety</t>
        </is>
      </c>
      <c r="B75" s="16">
        <f>COUNTIF('Inventory (Sorted)'!$C$4:$C$730, "Safety")</f>
        <v/>
      </c>
      <c r="C75" s="17">
        <f>SUMIF('Inventory (Sorted)'!$C$4:$C$730, "Safety", 'Inventory (Sorted)'!$H$4:$H$730)</f>
        <v/>
      </c>
      <c r="D75" s="18">
        <f>SUMIF('Inventory (Sorted)'!$C$4:$C$730, "Safety", 'Inventory (Sorted)'!$I$4:$I$730)</f>
        <v/>
      </c>
      <c r="E75" s="18">
        <f>SUMIF('Inventory (Sorted)'!$C$4:$C$730, "Safety", 'Inventory (Sorted)'!$J$4:$J$730)</f>
        <v/>
      </c>
      <c r="F75" s="18">
        <f>E75-D75</f>
        <v/>
      </c>
      <c r="G75" s="19">
        <f>IF(E75&gt;0, F75/E75, 0)</f>
        <v/>
      </c>
    </row>
    <row r="76">
      <c r="A76" s="10" t="inlineStr">
        <is>
          <t>Vermicelli</t>
        </is>
      </c>
      <c r="B76" s="11">
        <f>COUNTIF('Inventory (Sorted)'!$C$4:$C$730, "Vermicelli")</f>
        <v/>
      </c>
      <c r="C76" s="12">
        <f>SUMIF('Inventory (Sorted)'!$C$4:$C$730, "Vermicelli", 'Inventory (Sorted)'!$H$4:$H$730)</f>
        <v/>
      </c>
      <c r="D76" s="13">
        <f>SUMIF('Inventory (Sorted)'!$C$4:$C$730, "Vermicelli", 'Inventory (Sorted)'!$I$4:$I$730)</f>
        <v/>
      </c>
      <c r="E76" s="13">
        <f>SUMIF('Inventory (Sorted)'!$C$4:$C$730, "Vermicelli", 'Inventory (Sorted)'!$J$4:$J$730)</f>
        <v/>
      </c>
      <c r="F76" s="13">
        <f>E76-D76</f>
        <v/>
      </c>
      <c r="G76" s="14">
        <f>IF(E76&gt;0, F76/E76, 0)</f>
        <v/>
      </c>
    </row>
    <row r="77">
      <c r="A77" s="15" t="inlineStr">
        <is>
          <t>Medicine</t>
        </is>
      </c>
      <c r="B77" s="16">
        <f>COUNTIF('Inventory (Sorted)'!$C$4:$C$730, "Medicine")</f>
        <v/>
      </c>
      <c r="C77" s="17">
        <f>SUMIF('Inventory (Sorted)'!$C$4:$C$730, "Medicine", 'Inventory (Sorted)'!$H$4:$H$730)</f>
        <v/>
      </c>
      <c r="D77" s="18">
        <f>SUMIF('Inventory (Sorted)'!$C$4:$C$730, "Medicine", 'Inventory (Sorted)'!$I$4:$I$730)</f>
        <v/>
      </c>
      <c r="E77" s="18">
        <f>SUMIF('Inventory (Sorted)'!$C$4:$C$730, "Medicine", 'Inventory (Sorted)'!$J$4:$J$730)</f>
        <v/>
      </c>
      <c r="F77" s="18">
        <f>E77-D77</f>
        <v/>
      </c>
      <c r="G77" s="19">
        <f>IF(E77&gt;0, F77/E77, 0)</f>
        <v/>
      </c>
    </row>
    <row r="78">
      <c r="A78" s="10" t="inlineStr">
        <is>
          <t>Bin Plastic</t>
        </is>
      </c>
      <c r="B78" s="11">
        <f>COUNTIF('Inventory (Sorted)'!$C$4:$C$730, "Bin Plastic")</f>
        <v/>
      </c>
      <c r="C78" s="12">
        <f>SUMIF('Inventory (Sorted)'!$C$4:$C$730, "Bin Plastic", 'Inventory (Sorted)'!$H$4:$H$730)</f>
        <v/>
      </c>
      <c r="D78" s="13">
        <f>SUMIF('Inventory (Sorted)'!$C$4:$C$730, "Bin Plastic", 'Inventory (Sorted)'!$I$4:$I$730)</f>
        <v/>
      </c>
      <c r="E78" s="13">
        <f>SUMIF('Inventory (Sorted)'!$C$4:$C$730, "Bin Plastic", 'Inventory (Sorted)'!$J$4:$J$730)</f>
        <v/>
      </c>
      <c r="F78" s="13">
        <f>E78-D78</f>
        <v/>
      </c>
      <c r="G78" s="14">
        <f>IF(E78&gt;0, F78/E78, 0)</f>
        <v/>
      </c>
    </row>
    <row r="79">
      <c r="A79" s="15" t="inlineStr">
        <is>
          <t>Cocktail</t>
        </is>
      </c>
      <c r="B79" s="16">
        <f>COUNTIF('Inventory (Sorted)'!$C$4:$C$730, "Cocktail")</f>
        <v/>
      </c>
      <c r="C79" s="17">
        <f>SUMIF('Inventory (Sorted)'!$C$4:$C$730, "Cocktail", 'Inventory (Sorted)'!$H$4:$H$730)</f>
        <v/>
      </c>
      <c r="D79" s="18">
        <f>SUMIF('Inventory (Sorted)'!$C$4:$C$730, "Cocktail", 'Inventory (Sorted)'!$I$4:$I$730)</f>
        <v/>
      </c>
      <c r="E79" s="18">
        <f>SUMIF('Inventory (Sorted)'!$C$4:$C$730, "Cocktail", 'Inventory (Sorted)'!$J$4:$J$730)</f>
        <v/>
      </c>
      <c r="F79" s="18">
        <f>E79-D79</f>
        <v/>
      </c>
      <c r="G79" s="19">
        <f>IF(E79&gt;0, F79/E79, 0)</f>
        <v/>
      </c>
    </row>
    <row r="80">
      <c r="A80" s="10" t="inlineStr">
        <is>
          <t>Chicken Cube</t>
        </is>
      </c>
      <c r="B80" s="11">
        <f>COUNTIF('Inventory (Sorted)'!$C$4:$C$730, "Chicken Cube")</f>
        <v/>
      </c>
      <c r="C80" s="12">
        <f>SUMIF('Inventory (Sorted)'!$C$4:$C$730, "Chicken Cube", 'Inventory (Sorted)'!$H$4:$H$730)</f>
        <v/>
      </c>
      <c r="D80" s="13">
        <f>SUMIF('Inventory (Sorted)'!$C$4:$C$730, "Chicken Cube", 'Inventory (Sorted)'!$I$4:$I$730)</f>
        <v/>
      </c>
      <c r="E80" s="13">
        <f>SUMIF('Inventory (Sorted)'!$C$4:$C$730, "Chicken Cube", 'Inventory (Sorted)'!$J$4:$J$730)</f>
        <v/>
      </c>
      <c r="F80" s="13">
        <f>E80-D80</f>
        <v/>
      </c>
      <c r="G80" s="14">
        <f>IF(E80&gt;0, F80/E80, 0)</f>
        <v/>
      </c>
    </row>
    <row r="81">
      <c r="A81" s="15" t="inlineStr">
        <is>
          <t>Lighter</t>
        </is>
      </c>
      <c r="B81" s="16">
        <f>COUNTIF('Inventory (Sorted)'!$C$4:$C$730, "Lighter")</f>
        <v/>
      </c>
      <c r="C81" s="17">
        <f>SUMIF('Inventory (Sorted)'!$C$4:$C$730, "Lighter", 'Inventory (Sorted)'!$H$4:$H$730)</f>
        <v/>
      </c>
      <c r="D81" s="18">
        <f>SUMIF('Inventory (Sorted)'!$C$4:$C$730, "Lighter", 'Inventory (Sorted)'!$I$4:$I$730)</f>
        <v/>
      </c>
      <c r="E81" s="18">
        <f>SUMIF('Inventory (Sorted)'!$C$4:$C$730, "Lighter", 'Inventory (Sorted)'!$J$4:$J$730)</f>
        <v/>
      </c>
      <c r="F81" s="18">
        <f>E81-D81</f>
        <v/>
      </c>
      <c r="G81" s="19">
        <f>IF(E81&gt;0, F81/E81, 0)</f>
        <v/>
      </c>
    </row>
    <row r="82">
      <c r="A82" s="10" t="inlineStr">
        <is>
          <t>Matchbox</t>
        </is>
      </c>
      <c r="B82" s="11">
        <f>COUNTIF('Inventory (Sorted)'!$C$4:$C$730, "Matchbox")</f>
        <v/>
      </c>
      <c r="C82" s="12">
        <f>SUMIF('Inventory (Sorted)'!$C$4:$C$730, "Matchbox", 'Inventory (Sorted)'!$H$4:$H$730)</f>
        <v/>
      </c>
      <c r="D82" s="13">
        <f>SUMIF('Inventory (Sorted)'!$C$4:$C$730, "Matchbox", 'Inventory (Sorted)'!$I$4:$I$730)</f>
        <v/>
      </c>
      <c r="E82" s="13">
        <f>SUMIF('Inventory (Sorted)'!$C$4:$C$730, "Matchbox", 'Inventory (Sorted)'!$J$4:$J$730)</f>
        <v/>
      </c>
      <c r="F82" s="13">
        <f>E82-D82</f>
        <v/>
      </c>
      <c r="G82" s="14">
        <f>IF(E82&gt;0, F82/E82, 0)</f>
        <v/>
      </c>
    </row>
    <row r="83">
      <c r="A83" s="15" t="inlineStr">
        <is>
          <t>Biryani</t>
        </is>
      </c>
      <c r="B83" s="16">
        <f>COUNTIF('Inventory (Sorted)'!$C$4:$C$730, "Biryani")</f>
        <v/>
      </c>
      <c r="C83" s="17">
        <f>SUMIF('Inventory (Sorted)'!$C$4:$C$730, "Biryani", 'Inventory (Sorted)'!$H$4:$H$730)</f>
        <v/>
      </c>
      <c r="D83" s="18">
        <f>SUMIF('Inventory (Sorted)'!$C$4:$C$730, "Biryani", 'Inventory (Sorted)'!$I$4:$I$730)</f>
        <v/>
      </c>
      <c r="E83" s="18">
        <f>SUMIF('Inventory (Sorted)'!$C$4:$C$730, "Biryani", 'Inventory (Sorted)'!$J$4:$J$730)</f>
        <v/>
      </c>
      <c r="F83" s="18">
        <f>E83-D83</f>
        <v/>
      </c>
      <c r="G83" s="19">
        <f>IF(E83&gt;0, F83/E83, 0)</f>
        <v/>
      </c>
    </row>
    <row r="84">
      <c r="A84" s="10" t="inlineStr">
        <is>
          <t>Mask</t>
        </is>
      </c>
      <c r="B84" s="11">
        <f>COUNTIF('Inventory (Sorted)'!$C$4:$C$730, "Mask")</f>
        <v/>
      </c>
      <c r="C84" s="12">
        <f>SUMIF('Inventory (Sorted)'!$C$4:$C$730, "Mask", 'Inventory (Sorted)'!$H$4:$H$730)</f>
        <v/>
      </c>
      <c r="D84" s="13">
        <f>SUMIF('Inventory (Sorted)'!$C$4:$C$730, "Mask", 'Inventory (Sorted)'!$I$4:$I$730)</f>
        <v/>
      </c>
      <c r="E84" s="13">
        <f>SUMIF('Inventory (Sorted)'!$C$4:$C$730, "Mask", 'Inventory (Sorted)'!$J$4:$J$730)</f>
        <v/>
      </c>
      <c r="F84" s="13">
        <f>E84-D84</f>
        <v/>
      </c>
      <c r="G84" s="14">
        <f>IF(E84&gt;0, F84/E84, 0)</f>
        <v/>
      </c>
    </row>
    <row r="85">
      <c r="A85" s="15" t="inlineStr">
        <is>
          <t>Mirror</t>
        </is>
      </c>
      <c r="B85" s="16">
        <f>COUNTIF('Inventory (Sorted)'!$C$4:$C$730, "Mirror")</f>
        <v/>
      </c>
      <c r="C85" s="17">
        <f>SUMIF('Inventory (Sorted)'!$C$4:$C$730, "Mirror", 'Inventory (Sorted)'!$H$4:$H$730)</f>
        <v/>
      </c>
      <c r="D85" s="18">
        <f>SUMIF('Inventory (Sorted)'!$C$4:$C$730, "Mirror", 'Inventory (Sorted)'!$I$4:$I$730)</f>
        <v/>
      </c>
      <c r="E85" s="18">
        <f>SUMIF('Inventory (Sorted)'!$C$4:$C$730, "Mirror", 'Inventory (Sorted)'!$J$4:$J$730)</f>
        <v/>
      </c>
      <c r="F85" s="18">
        <f>E85-D85</f>
        <v/>
      </c>
      <c r="G85" s="19">
        <f>IF(E85&gt;0, F85/E85, 0)</f>
        <v/>
      </c>
    </row>
    <row r="86">
      <c r="A86" s="10" t="inlineStr">
        <is>
          <t>Sharbat</t>
        </is>
      </c>
      <c r="B86" s="11">
        <f>COUNTIF('Inventory (Sorted)'!$C$4:$C$730, "Sharbat")</f>
        <v/>
      </c>
      <c r="C86" s="12">
        <f>SUMIF('Inventory (Sorted)'!$C$4:$C$730, "Sharbat", 'Inventory (Sorted)'!$H$4:$H$730)</f>
        <v/>
      </c>
      <c r="D86" s="13">
        <f>SUMIF('Inventory (Sorted)'!$C$4:$C$730, "Sharbat", 'Inventory (Sorted)'!$I$4:$I$730)</f>
        <v/>
      </c>
      <c r="E86" s="13">
        <f>SUMIF('Inventory (Sorted)'!$C$4:$C$730, "Sharbat", 'Inventory (Sorted)'!$J$4:$J$730)</f>
        <v/>
      </c>
      <c r="F86" s="13">
        <f>E86-D86</f>
        <v/>
      </c>
      <c r="G86" s="14">
        <f>IF(E86&gt;0, F86/E86, 0)</f>
        <v/>
      </c>
    </row>
    <row r="87">
      <c r="A87" s="15" t="inlineStr">
        <is>
          <t>Samad Bond</t>
        </is>
      </c>
      <c r="B87" s="16">
        <f>COUNTIF('Inventory (Sorted)'!$C$4:$C$730, "Samad Bond")</f>
        <v/>
      </c>
      <c r="C87" s="17">
        <f>SUMIF('Inventory (Sorted)'!$C$4:$C$730, "Samad Bond", 'Inventory (Sorted)'!$H$4:$H$730)</f>
        <v/>
      </c>
      <c r="D87" s="18">
        <f>SUMIF('Inventory (Sorted)'!$C$4:$C$730, "Samad Bond", 'Inventory (Sorted)'!$I$4:$I$730)</f>
        <v/>
      </c>
      <c r="E87" s="18">
        <f>SUMIF('Inventory (Sorted)'!$C$4:$C$730, "Samad Bond", 'Inventory (Sorted)'!$J$4:$J$730)</f>
        <v/>
      </c>
      <c r="F87" s="18">
        <f>E87-D87</f>
        <v/>
      </c>
      <c r="G87" s="19">
        <f>IF(E87&gt;0, F87/E87, 0)</f>
        <v/>
      </c>
    </row>
    <row r="88">
      <c r="A88" s="10" t="inlineStr">
        <is>
          <t>Sopdyee</t>
        </is>
      </c>
      <c r="B88" s="11">
        <f>COUNTIF('Inventory (Sorted)'!$C$4:$C$730, "Sopdyee")</f>
        <v/>
      </c>
      <c r="C88" s="12">
        <f>SUMIF('Inventory (Sorted)'!$C$4:$C$730, "Sopdyee", 'Inventory (Sorted)'!$H$4:$H$730)</f>
        <v/>
      </c>
      <c r="D88" s="13">
        <f>SUMIF('Inventory (Sorted)'!$C$4:$C$730, "Sopdyee", 'Inventory (Sorted)'!$I$4:$I$730)</f>
        <v/>
      </c>
      <c r="E88" s="13">
        <f>SUMIF('Inventory (Sorted)'!$C$4:$C$730, "Sopdyee", 'Inventory (Sorted)'!$J$4:$J$730)</f>
        <v/>
      </c>
      <c r="F88" s="13">
        <f>E88-D88</f>
        <v/>
      </c>
      <c r="G88" s="14">
        <f>IF(E88&gt;0, F88/E88, 0)</f>
        <v/>
      </c>
    </row>
    <row r="89">
      <c r="A89" s="15" t="inlineStr">
        <is>
          <t>Chaani</t>
        </is>
      </c>
      <c r="B89" s="16">
        <f>COUNTIF('Inventory (Sorted)'!$C$4:$C$730, "Chaani")</f>
        <v/>
      </c>
      <c r="C89" s="17">
        <f>SUMIF('Inventory (Sorted)'!$C$4:$C$730, "Chaani", 'Inventory (Sorted)'!$H$4:$H$730)</f>
        <v/>
      </c>
      <c r="D89" s="18">
        <f>SUMIF('Inventory (Sorted)'!$C$4:$C$730, "Chaani", 'Inventory (Sorted)'!$I$4:$I$730)</f>
        <v/>
      </c>
      <c r="E89" s="18">
        <f>SUMIF('Inventory (Sorted)'!$C$4:$C$730, "Chaani", 'Inventory (Sorted)'!$J$4:$J$730)</f>
        <v/>
      </c>
      <c r="F89" s="18">
        <f>E89-D89</f>
        <v/>
      </c>
      <c r="G89" s="19">
        <f>IF(E89&gt;0, F89/E89, 0)</f>
        <v/>
      </c>
    </row>
    <row r="90">
      <c r="A90" s="10" t="inlineStr">
        <is>
          <t>Crums</t>
        </is>
      </c>
      <c r="B90" s="11">
        <f>COUNTIF('Inventory (Sorted)'!$C$4:$C$730, "Crums")</f>
        <v/>
      </c>
      <c r="C90" s="12">
        <f>SUMIF('Inventory (Sorted)'!$C$4:$C$730, "Crums", 'Inventory (Sorted)'!$H$4:$H$730)</f>
        <v/>
      </c>
      <c r="D90" s="13">
        <f>SUMIF('Inventory (Sorted)'!$C$4:$C$730, "Crums", 'Inventory (Sorted)'!$I$4:$I$730)</f>
        <v/>
      </c>
      <c r="E90" s="13">
        <f>SUMIF('Inventory (Sorted)'!$C$4:$C$730, "Crums", 'Inventory (Sorted)'!$J$4:$J$730)</f>
        <v/>
      </c>
      <c r="F90" s="13">
        <f>E90-D90</f>
        <v/>
      </c>
      <c r="G90" s="14">
        <f>IF(E90&gt;0, F90/E90, 0)</f>
        <v/>
      </c>
    </row>
    <row r="91">
      <c r="A91" s="15" t="inlineStr">
        <is>
          <t>Comb</t>
        </is>
      </c>
      <c r="B91" s="16">
        <f>COUNTIF('Inventory (Sorted)'!$C$4:$C$730, "Comb")</f>
        <v/>
      </c>
      <c r="C91" s="17">
        <f>SUMIF('Inventory (Sorted)'!$C$4:$C$730, "Comb", 'Inventory (Sorted)'!$H$4:$H$730)</f>
        <v/>
      </c>
      <c r="D91" s="18">
        <f>SUMIF('Inventory (Sorted)'!$C$4:$C$730, "Comb", 'Inventory (Sorted)'!$I$4:$I$730)</f>
        <v/>
      </c>
      <c r="E91" s="18">
        <f>SUMIF('Inventory (Sorted)'!$C$4:$C$730, "Comb", 'Inventory (Sorted)'!$J$4:$J$730)</f>
        <v/>
      </c>
      <c r="F91" s="18">
        <f>E91-D91</f>
        <v/>
      </c>
      <c r="G91" s="19">
        <f>IF(E91&gt;0, F91/E91, 0)</f>
        <v/>
      </c>
    </row>
    <row r="92">
      <c r="A92" s="10" t="inlineStr">
        <is>
          <t>Mayonies</t>
        </is>
      </c>
      <c r="B92" s="11">
        <f>COUNTIF('Inventory (Sorted)'!$C$4:$C$730, "Mayonies")</f>
        <v/>
      </c>
      <c r="C92" s="12">
        <f>SUMIF('Inventory (Sorted)'!$C$4:$C$730, "Mayonies", 'Inventory (Sorted)'!$H$4:$H$730)</f>
        <v/>
      </c>
      <c r="D92" s="13">
        <f>SUMIF('Inventory (Sorted)'!$C$4:$C$730, "Mayonies", 'Inventory (Sorted)'!$I$4:$I$730)</f>
        <v/>
      </c>
      <c r="E92" s="13">
        <f>SUMIF('Inventory (Sorted)'!$C$4:$C$730, "Mayonies", 'Inventory (Sorted)'!$J$4:$J$730)</f>
        <v/>
      </c>
      <c r="F92" s="13">
        <f>E92-D92</f>
        <v/>
      </c>
      <c r="G92" s="14">
        <f>IF(E92&gt;0, F92/E92, 0)</f>
        <v/>
      </c>
    </row>
    <row r="93">
      <c r="A93" s="15" t="inlineStr">
        <is>
          <t>Shoe Shine</t>
        </is>
      </c>
      <c r="B93" s="16">
        <f>COUNTIF('Inventory (Sorted)'!$C$4:$C$730, "Shoe Shine")</f>
        <v/>
      </c>
      <c r="C93" s="17">
        <f>SUMIF('Inventory (Sorted)'!$C$4:$C$730, "Shoe Shine", 'Inventory (Sorted)'!$H$4:$H$730)</f>
        <v/>
      </c>
      <c r="D93" s="18">
        <f>SUMIF('Inventory (Sorted)'!$C$4:$C$730, "Shoe Shine", 'Inventory (Sorted)'!$I$4:$I$730)</f>
        <v/>
      </c>
      <c r="E93" s="18">
        <f>SUMIF('Inventory (Sorted)'!$C$4:$C$730, "Shoe Shine", 'Inventory (Sorted)'!$J$4:$J$730)</f>
        <v/>
      </c>
      <c r="F93" s="18">
        <f>E93-D93</f>
        <v/>
      </c>
      <c r="G93" s="19">
        <f>IF(E93&gt;0, F93/E93, 0)</f>
        <v/>
      </c>
    </row>
    <row r="94">
      <c r="A94" s="10" t="inlineStr">
        <is>
          <t>Ice Cream Syrup</t>
        </is>
      </c>
      <c r="B94" s="11">
        <f>COUNTIF('Inventory (Sorted)'!$C$4:$C$730, "Ice Cream Syrup")</f>
        <v/>
      </c>
      <c r="C94" s="12">
        <f>SUMIF('Inventory (Sorted)'!$C$4:$C$730, "Ice Cream Syrup", 'Inventory (Sorted)'!$H$4:$H$730)</f>
        <v/>
      </c>
      <c r="D94" s="13">
        <f>SUMIF('Inventory (Sorted)'!$C$4:$C$730, "Ice Cream Syrup", 'Inventory (Sorted)'!$I$4:$I$730)</f>
        <v/>
      </c>
      <c r="E94" s="13">
        <f>SUMIF('Inventory (Sorted)'!$C$4:$C$730, "Ice Cream Syrup", 'Inventory (Sorted)'!$J$4:$J$730)</f>
        <v/>
      </c>
      <c r="F94" s="13">
        <f>E94-D94</f>
        <v/>
      </c>
      <c r="G94" s="14">
        <f>IF(E94&gt;0, F94/E94, 0)</f>
        <v/>
      </c>
    </row>
    <row r="95">
      <c r="A95" s="15" t="inlineStr">
        <is>
          <t>Body Powdered</t>
        </is>
      </c>
      <c r="B95" s="16">
        <f>COUNTIF('Inventory (Sorted)'!$C$4:$C$730, "Body Powdered")</f>
        <v/>
      </c>
      <c r="C95" s="17">
        <f>SUMIF('Inventory (Sorted)'!$C$4:$C$730, "Body Powdered", 'Inventory (Sorted)'!$H$4:$H$730)</f>
        <v/>
      </c>
      <c r="D95" s="18">
        <f>SUMIF('Inventory (Sorted)'!$C$4:$C$730, "Body Powdered", 'Inventory (Sorted)'!$I$4:$I$730)</f>
        <v/>
      </c>
      <c r="E95" s="18">
        <f>SUMIF('Inventory (Sorted)'!$C$4:$C$730, "Body Powdered", 'Inventory (Sorted)'!$J$4:$J$730)</f>
        <v/>
      </c>
      <c r="F95" s="18">
        <f>E95-D95</f>
        <v/>
      </c>
      <c r="G95" s="19">
        <f>IF(E95&gt;0, F95/E95, 0)</f>
        <v/>
      </c>
    </row>
    <row r="96">
      <c r="A96" s="10" t="inlineStr">
        <is>
          <t>Nail Cutter</t>
        </is>
      </c>
      <c r="B96" s="11">
        <f>COUNTIF('Inventory (Sorted)'!$C$4:$C$730, "Nail Cutter")</f>
        <v/>
      </c>
      <c r="C96" s="12">
        <f>SUMIF('Inventory (Sorted)'!$C$4:$C$730, "Nail Cutter", 'Inventory (Sorted)'!$H$4:$H$730)</f>
        <v/>
      </c>
      <c r="D96" s="13">
        <f>SUMIF('Inventory (Sorted)'!$C$4:$C$730, "Nail Cutter", 'Inventory (Sorted)'!$I$4:$I$730)</f>
        <v/>
      </c>
      <c r="E96" s="13">
        <f>SUMIF('Inventory (Sorted)'!$C$4:$C$730, "Nail Cutter", 'Inventory (Sorted)'!$J$4:$J$730)</f>
        <v/>
      </c>
      <c r="F96" s="13">
        <f>E96-D96</f>
        <v/>
      </c>
      <c r="G96" s="14">
        <f>IF(E96&gt;0, F96/E96, 0)</f>
        <v/>
      </c>
    </row>
    <row r="97">
      <c r="A97" s="15" t="inlineStr">
        <is>
          <t>Macaroni</t>
        </is>
      </c>
      <c r="B97" s="16">
        <f>COUNTIF('Inventory (Sorted)'!$C$4:$C$730, "Macaroni")</f>
        <v/>
      </c>
      <c r="C97" s="17">
        <f>SUMIF('Inventory (Sorted)'!$C$4:$C$730, "Macaroni", 'Inventory (Sorted)'!$H$4:$H$730)</f>
        <v/>
      </c>
      <c r="D97" s="18">
        <f>SUMIF('Inventory (Sorted)'!$C$4:$C$730, "Macaroni", 'Inventory (Sorted)'!$I$4:$I$730)</f>
        <v/>
      </c>
      <c r="E97" s="18">
        <f>SUMIF('Inventory (Sorted)'!$C$4:$C$730, "Macaroni", 'Inventory (Sorted)'!$J$4:$J$730)</f>
        <v/>
      </c>
      <c r="F97" s="18">
        <f>E97-D97</f>
        <v/>
      </c>
      <c r="G97" s="19">
        <f>IF(E97&gt;0, F97/E97, 0)</f>
        <v/>
      </c>
    </row>
    <row r="98">
      <c r="A98" s="10" t="inlineStr">
        <is>
          <t>Tri Pack</t>
        </is>
      </c>
      <c r="B98" s="11">
        <f>COUNTIF('Inventory (Sorted)'!$C$4:$C$730, "Tri Pack")</f>
        <v/>
      </c>
      <c r="C98" s="12">
        <f>SUMIF('Inventory (Sorted)'!$C$4:$C$730, "Tri Pack", 'Inventory (Sorted)'!$H$4:$H$730)</f>
        <v/>
      </c>
      <c r="D98" s="13">
        <f>SUMIF('Inventory (Sorted)'!$C$4:$C$730, "Tri Pack", 'Inventory (Sorted)'!$I$4:$I$730)</f>
        <v/>
      </c>
      <c r="E98" s="13">
        <f>SUMIF('Inventory (Sorted)'!$C$4:$C$730, "Tri Pack", 'Inventory (Sorted)'!$J$4:$J$730)</f>
        <v/>
      </c>
      <c r="F98" s="13">
        <f>E98-D98</f>
        <v/>
      </c>
      <c r="G98" s="14">
        <f>IF(E98&gt;0, F98/E98, 0)</f>
        <v/>
      </c>
    </row>
    <row r="99">
      <c r="A99" s="15" t="inlineStr">
        <is>
          <t>Toilet Jel</t>
        </is>
      </c>
      <c r="B99" s="16">
        <f>COUNTIF('Inventory (Sorted)'!$C$4:$C$730, "Toilet Jel")</f>
        <v/>
      </c>
      <c r="C99" s="17">
        <f>SUMIF('Inventory (Sorted)'!$C$4:$C$730, "Toilet Jel", 'Inventory (Sorted)'!$H$4:$H$730)</f>
        <v/>
      </c>
      <c r="D99" s="18">
        <f>SUMIF('Inventory (Sorted)'!$C$4:$C$730, "Toilet Jel", 'Inventory (Sorted)'!$I$4:$I$730)</f>
        <v/>
      </c>
      <c r="E99" s="18">
        <f>SUMIF('Inventory (Sorted)'!$C$4:$C$730, "Toilet Jel", 'Inventory (Sorted)'!$J$4:$J$730)</f>
        <v/>
      </c>
      <c r="F99" s="18">
        <f>E99-D99</f>
        <v/>
      </c>
      <c r="G99" s="19">
        <f>IF(E99&gt;0, F99/E99, 0)</f>
        <v/>
      </c>
    </row>
    <row r="100">
      <c r="A100" s="10" t="inlineStr">
        <is>
          <t>Case</t>
        </is>
      </c>
      <c r="B100" s="11">
        <f>COUNTIF('Inventory (Sorted)'!$C$4:$C$730, "Case")</f>
        <v/>
      </c>
      <c r="C100" s="12">
        <f>SUMIF('Inventory (Sorted)'!$C$4:$C$730, "Case", 'Inventory (Sorted)'!$H$4:$H$730)</f>
        <v/>
      </c>
      <c r="D100" s="13">
        <f>SUMIF('Inventory (Sorted)'!$C$4:$C$730, "Case", 'Inventory (Sorted)'!$I$4:$I$730)</f>
        <v/>
      </c>
      <c r="E100" s="13">
        <f>SUMIF('Inventory (Sorted)'!$C$4:$C$730, "Case", 'Inventory (Sorted)'!$J$4:$J$730)</f>
        <v/>
      </c>
      <c r="F100" s="13">
        <f>E100-D100</f>
        <v/>
      </c>
      <c r="G100" s="14">
        <f>IF(E100&gt;0, F100/E100, 0)</f>
        <v/>
      </c>
    </row>
    <row r="101">
      <c r="A101" s="15" t="inlineStr">
        <is>
          <t>Pencil</t>
        </is>
      </c>
      <c r="B101" s="16">
        <f>COUNTIF('Inventory (Sorted)'!$C$4:$C$730, "Pencil")</f>
        <v/>
      </c>
      <c r="C101" s="17">
        <f>SUMIF('Inventory (Sorted)'!$C$4:$C$730, "Pencil", 'Inventory (Sorted)'!$H$4:$H$730)</f>
        <v/>
      </c>
      <c r="D101" s="18">
        <f>SUMIF('Inventory (Sorted)'!$C$4:$C$730, "Pencil", 'Inventory (Sorted)'!$I$4:$I$730)</f>
        <v/>
      </c>
      <c r="E101" s="18">
        <f>SUMIF('Inventory (Sorted)'!$C$4:$C$730, "Pencil", 'Inventory (Sorted)'!$J$4:$J$730)</f>
        <v/>
      </c>
      <c r="F101" s="18">
        <f>E101-D101</f>
        <v/>
      </c>
      <c r="G101" s="19">
        <f>IF(E101&gt;0, F101/E101, 0)</f>
        <v/>
      </c>
    </row>
    <row r="102">
      <c r="A102" s="10" t="inlineStr">
        <is>
          <t>Polish</t>
        </is>
      </c>
      <c r="B102" s="11">
        <f>COUNTIF('Inventory (Sorted)'!$C$4:$C$730, "Polish")</f>
        <v/>
      </c>
      <c r="C102" s="12">
        <f>SUMIF('Inventory (Sorted)'!$C$4:$C$730, "Polish", 'Inventory (Sorted)'!$H$4:$H$730)</f>
        <v/>
      </c>
      <c r="D102" s="13">
        <f>SUMIF('Inventory (Sorted)'!$C$4:$C$730, "Polish", 'Inventory (Sorted)'!$I$4:$I$730)</f>
        <v/>
      </c>
      <c r="E102" s="13">
        <f>SUMIF('Inventory (Sorted)'!$C$4:$C$730, "Polish", 'Inventory (Sorted)'!$J$4:$J$730)</f>
        <v/>
      </c>
      <c r="F102" s="13">
        <f>E102-D102</f>
        <v/>
      </c>
      <c r="G102" s="14">
        <f>IF(E102&gt;0, F102/E102, 0)</f>
        <v/>
      </c>
    </row>
    <row r="103">
      <c r="A103" s="15" t="inlineStr">
        <is>
          <t>Ketchup</t>
        </is>
      </c>
      <c r="B103" s="16">
        <f>COUNTIF('Inventory (Sorted)'!$C$4:$C$730, "Ketchup")</f>
        <v/>
      </c>
      <c r="C103" s="17">
        <f>SUMIF('Inventory (Sorted)'!$C$4:$C$730, "Ketchup", 'Inventory (Sorted)'!$H$4:$H$730)</f>
        <v/>
      </c>
      <c r="D103" s="18">
        <f>SUMIF('Inventory (Sorted)'!$C$4:$C$730, "Ketchup", 'Inventory (Sorted)'!$I$4:$I$730)</f>
        <v/>
      </c>
      <c r="E103" s="18">
        <f>SUMIF('Inventory (Sorted)'!$C$4:$C$730, "Ketchup", 'Inventory (Sorted)'!$J$4:$J$730)</f>
        <v/>
      </c>
      <c r="F103" s="18">
        <f>E103-D103</f>
        <v/>
      </c>
      <c r="G103" s="19">
        <f>IF(E103&gt;0, F103/E103, 0)</f>
        <v/>
      </c>
    </row>
    <row r="104">
      <c r="A104" s="10" t="inlineStr">
        <is>
          <t>Fabric Conditioner</t>
        </is>
      </c>
      <c r="B104" s="11">
        <f>COUNTIF('Inventory (Sorted)'!$C$4:$C$730, "Fabric Conditioner")</f>
        <v/>
      </c>
      <c r="C104" s="12">
        <f>SUMIF('Inventory (Sorted)'!$C$4:$C$730, "Fabric Conditioner", 'Inventory (Sorted)'!$H$4:$H$730)</f>
        <v/>
      </c>
      <c r="D104" s="13">
        <f>SUMIF('Inventory (Sorted)'!$C$4:$C$730, "Fabric Conditioner", 'Inventory (Sorted)'!$I$4:$I$730)</f>
        <v/>
      </c>
      <c r="E104" s="13">
        <f>SUMIF('Inventory (Sorted)'!$C$4:$C$730, "Fabric Conditioner", 'Inventory (Sorted)'!$J$4:$J$730)</f>
        <v/>
      </c>
      <c r="F104" s="13">
        <f>E104-D104</f>
        <v/>
      </c>
      <c r="G104" s="14">
        <f>IF(E104&gt;0, F104/E104, 0)</f>
        <v/>
      </c>
    </row>
    <row r="105">
      <c r="A105" s="15" t="inlineStr">
        <is>
          <t>Tape</t>
        </is>
      </c>
      <c r="B105" s="16">
        <f>COUNTIF('Inventory (Sorted)'!$C$4:$C$730, "Tape")</f>
        <v/>
      </c>
      <c r="C105" s="17">
        <f>SUMIF('Inventory (Sorted)'!$C$4:$C$730, "Tape", 'Inventory (Sorted)'!$H$4:$H$730)</f>
        <v/>
      </c>
      <c r="D105" s="18">
        <f>SUMIF('Inventory (Sorted)'!$C$4:$C$730, "Tape", 'Inventory (Sorted)'!$I$4:$I$730)</f>
        <v/>
      </c>
      <c r="E105" s="18">
        <f>SUMIF('Inventory (Sorted)'!$C$4:$C$730, "Tape", 'Inventory (Sorted)'!$J$4:$J$730)</f>
        <v/>
      </c>
      <c r="F105" s="18">
        <f>E105-D105</f>
        <v/>
      </c>
      <c r="G105" s="19">
        <f>IF(E105&gt;0, F105/E105, 0)</f>
        <v/>
      </c>
    </row>
    <row r="106">
      <c r="A106" s="10" t="inlineStr">
        <is>
          <t>Coil</t>
        </is>
      </c>
      <c r="B106" s="11">
        <f>COUNTIF('Inventory (Sorted)'!$C$4:$C$730, "Coil")</f>
        <v/>
      </c>
      <c r="C106" s="12">
        <f>SUMIF('Inventory (Sorted)'!$C$4:$C$730, "Coil", 'Inventory (Sorted)'!$H$4:$H$730)</f>
        <v/>
      </c>
      <c r="D106" s="13">
        <f>SUMIF('Inventory (Sorted)'!$C$4:$C$730, "Coil", 'Inventory (Sorted)'!$I$4:$I$730)</f>
        <v/>
      </c>
      <c r="E106" s="13">
        <f>SUMIF('Inventory (Sorted)'!$C$4:$C$730, "Coil", 'Inventory (Sorted)'!$J$4:$J$730)</f>
        <v/>
      </c>
      <c r="F106" s="13">
        <f>E106-D106</f>
        <v/>
      </c>
      <c r="G106" s="14">
        <f>IF(E106&gt;0, F106/E106, 0)</f>
        <v/>
      </c>
    </row>
    <row r="107">
      <c r="A107" s="15" t="inlineStr">
        <is>
          <t>Vinegar</t>
        </is>
      </c>
      <c r="B107" s="16">
        <f>COUNTIF('Inventory (Sorted)'!$C$4:$C$730, "Vinegar")</f>
        <v/>
      </c>
      <c r="C107" s="17">
        <f>SUMIF('Inventory (Sorted)'!$C$4:$C$730, "Vinegar", 'Inventory (Sorted)'!$H$4:$H$730)</f>
        <v/>
      </c>
      <c r="D107" s="18">
        <f>SUMIF('Inventory (Sorted)'!$C$4:$C$730, "Vinegar", 'Inventory (Sorted)'!$I$4:$I$730)</f>
        <v/>
      </c>
      <c r="E107" s="18">
        <f>SUMIF('Inventory (Sorted)'!$C$4:$C$730, "Vinegar", 'Inventory (Sorted)'!$J$4:$J$730)</f>
        <v/>
      </c>
      <c r="F107" s="18">
        <f>E107-D107</f>
        <v/>
      </c>
      <c r="G107" s="19">
        <f>IF(E107&gt;0, F107/E107, 0)</f>
        <v/>
      </c>
    </row>
    <row r="108">
      <c r="A108" s="10" t="inlineStr">
        <is>
          <t>Baking Powdered</t>
        </is>
      </c>
      <c r="B108" s="11">
        <f>COUNTIF('Inventory (Sorted)'!$C$4:$C$730, "Baking Powdered")</f>
        <v/>
      </c>
      <c r="C108" s="12">
        <f>SUMIF('Inventory (Sorted)'!$C$4:$C$730, "Baking Powdered", 'Inventory (Sorted)'!$H$4:$H$730)</f>
        <v/>
      </c>
      <c r="D108" s="13">
        <f>SUMIF('Inventory (Sorted)'!$C$4:$C$730, "Baking Powdered", 'Inventory (Sorted)'!$I$4:$I$730)</f>
        <v/>
      </c>
      <c r="E108" s="13">
        <f>SUMIF('Inventory (Sorted)'!$C$4:$C$730, "Baking Powdered", 'Inventory (Sorted)'!$J$4:$J$730)</f>
        <v/>
      </c>
      <c r="F108" s="13">
        <f>E108-D108</f>
        <v/>
      </c>
      <c r="G108" s="14">
        <f>IF(E108&gt;0, F108/E108, 0)</f>
        <v/>
      </c>
    </row>
    <row r="109">
      <c r="A109" s="15" t="inlineStr">
        <is>
          <t>Custard</t>
        </is>
      </c>
      <c r="B109" s="16">
        <f>COUNTIF('Inventory (Sorted)'!$C$4:$C$730, "Custard")</f>
        <v/>
      </c>
      <c r="C109" s="17">
        <f>SUMIF('Inventory (Sorted)'!$C$4:$C$730, "Custard", 'Inventory (Sorted)'!$H$4:$H$730)</f>
        <v/>
      </c>
      <c r="D109" s="18">
        <f>SUMIF('Inventory (Sorted)'!$C$4:$C$730, "Custard", 'Inventory (Sorted)'!$I$4:$I$730)</f>
        <v/>
      </c>
      <c r="E109" s="18">
        <f>SUMIF('Inventory (Sorted)'!$C$4:$C$730, "Custard", 'Inventory (Sorted)'!$J$4:$J$730)</f>
        <v/>
      </c>
      <c r="F109" s="18">
        <f>E109-D109</f>
        <v/>
      </c>
      <c r="G109" s="19">
        <f>IF(E109&gt;0, F109/E109, 0)</f>
        <v/>
      </c>
    </row>
    <row r="110">
      <c r="A110" s="10" t="inlineStr">
        <is>
          <t>Glass Cleaner</t>
        </is>
      </c>
      <c r="B110" s="11">
        <f>COUNTIF('Inventory (Sorted)'!$C$4:$C$730, "Glass Cleaner")</f>
        <v/>
      </c>
      <c r="C110" s="12">
        <f>SUMIF('Inventory (Sorted)'!$C$4:$C$730, "Glass Cleaner", 'Inventory (Sorted)'!$H$4:$H$730)</f>
        <v/>
      </c>
      <c r="D110" s="13">
        <f>SUMIF('Inventory (Sorted)'!$C$4:$C$730, "Glass Cleaner", 'Inventory (Sorted)'!$I$4:$I$730)</f>
        <v/>
      </c>
      <c r="E110" s="13">
        <f>SUMIF('Inventory (Sorted)'!$C$4:$C$730, "Glass Cleaner", 'Inventory (Sorted)'!$J$4:$J$730)</f>
        <v/>
      </c>
      <c r="F110" s="13">
        <f>E110-D110</f>
        <v/>
      </c>
      <c r="G110" s="14">
        <f>IF(E110&gt;0, F110/E110, 0)</f>
        <v/>
      </c>
    </row>
    <row r="111">
      <c r="A111" s="15" t="inlineStr">
        <is>
          <t>Candle</t>
        </is>
      </c>
      <c r="B111" s="16">
        <f>COUNTIF('Inventory (Sorted)'!$C$4:$C$730, "Candle")</f>
        <v/>
      </c>
      <c r="C111" s="17">
        <f>SUMIF('Inventory (Sorted)'!$C$4:$C$730, "Candle", 'Inventory (Sorted)'!$H$4:$H$730)</f>
        <v/>
      </c>
      <c r="D111" s="18">
        <f>SUMIF('Inventory (Sorted)'!$C$4:$C$730, "Candle", 'Inventory (Sorted)'!$I$4:$I$730)</f>
        <v/>
      </c>
      <c r="E111" s="18">
        <f>SUMIF('Inventory (Sorted)'!$C$4:$C$730, "Candle", 'Inventory (Sorted)'!$J$4:$J$730)</f>
        <v/>
      </c>
      <c r="F111" s="18">
        <f>E111-D111</f>
        <v/>
      </c>
      <c r="G111" s="19">
        <f>IF(E111&gt;0, F111/E111, 0)</f>
        <v/>
      </c>
    </row>
    <row r="112">
      <c r="A112" s="10" t="inlineStr">
        <is>
          <t>Soya</t>
        </is>
      </c>
      <c r="B112" s="11">
        <f>COUNTIF('Inventory (Sorted)'!$C$4:$C$730, "Soya")</f>
        <v/>
      </c>
      <c r="C112" s="12">
        <f>SUMIF('Inventory (Sorted)'!$C$4:$C$730, "Soya", 'Inventory (Sorted)'!$H$4:$H$730)</f>
        <v/>
      </c>
      <c r="D112" s="13">
        <f>SUMIF('Inventory (Sorted)'!$C$4:$C$730, "Soya", 'Inventory (Sorted)'!$I$4:$I$730)</f>
        <v/>
      </c>
      <c r="E112" s="13">
        <f>SUMIF('Inventory (Sorted)'!$C$4:$C$730, "Soya", 'Inventory (Sorted)'!$J$4:$J$730)</f>
        <v/>
      </c>
      <c r="F112" s="13">
        <f>E112-D112</f>
        <v/>
      </c>
      <c r="G112" s="14">
        <f>IF(E112&gt;0, F112/E112, 0)</f>
        <v/>
      </c>
    </row>
    <row r="113">
      <c r="A113" s="15" t="inlineStr">
        <is>
          <t>Hairremover</t>
        </is>
      </c>
      <c r="B113" s="16">
        <f>COUNTIF('Inventory (Sorted)'!$C$4:$C$730, "Hairremover")</f>
        <v/>
      </c>
      <c r="C113" s="17">
        <f>SUMIF('Inventory (Sorted)'!$C$4:$C$730, "Hairremover", 'Inventory (Sorted)'!$H$4:$H$730)</f>
        <v/>
      </c>
      <c r="D113" s="18">
        <f>SUMIF('Inventory (Sorted)'!$C$4:$C$730, "Hairremover", 'Inventory (Sorted)'!$I$4:$I$730)</f>
        <v/>
      </c>
      <c r="E113" s="18">
        <f>SUMIF('Inventory (Sorted)'!$C$4:$C$730, "Hairremover", 'Inventory (Sorted)'!$J$4:$J$730)</f>
        <v/>
      </c>
      <c r="F113" s="18">
        <f>E113-D113</f>
        <v/>
      </c>
      <c r="G113" s="19">
        <f>IF(E113&gt;0, F113/E113, 0)</f>
        <v/>
      </c>
    </row>
    <row r="114">
      <c r="A114" s="10" t="inlineStr">
        <is>
          <t>Pen</t>
        </is>
      </c>
      <c r="B114" s="11">
        <f>COUNTIF('Inventory (Sorted)'!$C$4:$C$730, "Pen")</f>
        <v/>
      </c>
      <c r="C114" s="12">
        <f>SUMIF('Inventory (Sorted)'!$C$4:$C$730, "Pen", 'Inventory (Sorted)'!$H$4:$H$730)</f>
        <v/>
      </c>
      <c r="D114" s="13">
        <f>SUMIF('Inventory (Sorted)'!$C$4:$C$730, "Pen", 'Inventory (Sorted)'!$I$4:$I$730)</f>
        <v/>
      </c>
      <c r="E114" s="13">
        <f>SUMIF('Inventory (Sorted)'!$C$4:$C$730, "Pen", 'Inventory (Sorted)'!$J$4:$J$730)</f>
        <v/>
      </c>
      <c r="F114" s="13">
        <f>E114-D114</f>
        <v/>
      </c>
      <c r="G114" s="14">
        <f>IF(E114&gt;0, F114/E114, 0)</f>
        <v/>
      </c>
    </row>
    <row r="115">
      <c r="A115" s="15" t="inlineStr">
        <is>
          <t>Elfy</t>
        </is>
      </c>
      <c r="B115" s="16">
        <f>COUNTIF('Inventory (Sorted)'!$C$4:$C$730, "Elfy")</f>
        <v/>
      </c>
      <c r="C115" s="17">
        <f>SUMIF('Inventory (Sorted)'!$C$4:$C$730, "Elfy", 'Inventory (Sorted)'!$H$4:$H$730)</f>
        <v/>
      </c>
      <c r="D115" s="18">
        <f>SUMIF('Inventory (Sorted)'!$C$4:$C$730, "Elfy", 'Inventory (Sorted)'!$I$4:$I$730)</f>
        <v/>
      </c>
      <c r="E115" s="18">
        <f>SUMIF('Inventory (Sorted)'!$C$4:$C$730, "Elfy", 'Inventory (Sorted)'!$J$4:$J$730)</f>
        <v/>
      </c>
      <c r="F115" s="18">
        <f>E115-D115</f>
        <v/>
      </c>
      <c r="G115" s="19">
        <f>IF(E115&gt;0, F115/E115, 0)</f>
        <v/>
      </c>
    </row>
    <row r="116">
      <c r="A116" s="10" t="inlineStr">
        <is>
          <t>Bin Platic</t>
        </is>
      </c>
      <c r="B116" s="11">
        <f>COUNTIF('Inventory (Sorted)'!$C$4:$C$730, "Bin Platic")</f>
        <v/>
      </c>
      <c r="C116" s="12">
        <f>SUMIF('Inventory (Sorted)'!$C$4:$C$730, "Bin Platic", 'Inventory (Sorted)'!$H$4:$H$730)</f>
        <v/>
      </c>
      <c r="D116" s="13">
        <f>SUMIF('Inventory (Sorted)'!$C$4:$C$730, "Bin Platic", 'Inventory (Sorted)'!$I$4:$I$730)</f>
        <v/>
      </c>
      <c r="E116" s="13">
        <f>SUMIF('Inventory (Sorted)'!$C$4:$C$730, "Bin Platic", 'Inventory (Sorted)'!$J$4:$J$730)</f>
        <v/>
      </c>
      <c r="F116" s="13">
        <f>E116-D116</f>
        <v/>
      </c>
      <c r="G116" s="14">
        <f>IF(E116&gt;0, F116/E116, 0)</f>
        <v/>
      </c>
    </row>
    <row r="117">
      <c r="A117" s="15" t="inlineStr">
        <is>
          <t>Whitener</t>
        </is>
      </c>
      <c r="B117" s="16">
        <f>COUNTIF('Inventory (Sorted)'!$C$4:$C$730, "Whitener")</f>
        <v/>
      </c>
      <c r="C117" s="17">
        <f>SUMIF('Inventory (Sorted)'!$C$4:$C$730, "Whitener", 'Inventory (Sorted)'!$H$4:$H$730)</f>
        <v/>
      </c>
      <c r="D117" s="18">
        <f>SUMIF('Inventory (Sorted)'!$C$4:$C$730, "Whitener", 'Inventory (Sorted)'!$I$4:$I$730)</f>
        <v/>
      </c>
      <c r="E117" s="18">
        <f>SUMIF('Inventory (Sorted)'!$C$4:$C$730, "Whitener", 'Inventory (Sorted)'!$J$4:$J$730)</f>
        <v/>
      </c>
      <c r="F117" s="18">
        <f>E117-D117</f>
        <v/>
      </c>
      <c r="G117" s="19">
        <f>IF(E117&gt;0, F117/E117, 0)</f>
        <v/>
      </c>
    </row>
    <row r="118">
      <c r="A118" s="10" t="inlineStr">
        <is>
          <t>Hanger</t>
        </is>
      </c>
      <c r="B118" s="11">
        <f>COUNTIF('Inventory (Sorted)'!$C$4:$C$730, "Hanger")</f>
        <v/>
      </c>
      <c r="C118" s="12">
        <f>SUMIF('Inventory (Sorted)'!$C$4:$C$730, "Hanger", 'Inventory (Sorted)'!$H$4:$H$730)</f>
        <v/>
      </c>
      <c r="D118" s="13">
        <f>SUMIF('Inventory (Sorted)'!$C$4:$C$730, "Hanger", 'Inventory (Sorted)'!$I$4:$I$730)</f>
        <v/>
      </c>
      <c r="E118" s="13">
        <f>SUMIF('Inventory (Sorted)'!$C$4:$C$730, "Hanger", 'Inventory (Sorted)'!$J$4:$J$730)</f>
        <v/>
      </c>
      <c r="F118" s="13">
        <f>E118-D118</f>
        <v/>
      </c>
      <c r="G118" s="14">
        <f>IF(E118&gt;0, F118/E118, 0)</f>
        <v/>
      </c>
    </row>
    <row r="119">
      <c r="A119" s="15" t="inlineStr">
        <is>
          <t>Eraser</t>
        </is>
      </c>
      <c r="B119" s="16">
        <f>COUNTIF('Inventory (Sorted)'!$C$4:$C$730, "Eraser")</f>
        <v/>
      </c>
      <c r="C119" s="17">
        <f>SUMIF('Inventory (Sorted)'!$C$4:$C$730, "Eraser", 'Inventory (Sorted)'!$H$4:$H$730)</f>
        <v/>
      </c>
      <c r="D119" s="18">
        <f>SUMIF('Inventory (Sorted)'!$C$4:$C$730, "Eraser", 'Inventory (Sorted)'!$I$4:$I$730)</f>
        <v/>
      </c>
      <c r="E119" s="18">
        <f>SUMIF('Inventory (Sorted)'!$C$4:$C$730, "Eraser", 'Inventory (Sorted)'!$J$4:$J$730)</f>
        <v/>
      </c>
      <c r="F119" s="18">
        <f>E119-D119</f>
        <v/>
      </c>
      <c r="G119" s="19">
        <f>IF(E119&gt;0, F119/E119, 0)</f>
        <v/>
      </c>
    </row>
    <row r="120">
      <c r="A120" s="10" t="inlineStr">
        <is>
          <t>Mortein</t>
        </is>
      </c>
      <c r="B120" s="11">
        <f>COUNTIF('Inventory (Sorted)'!$C$4:$C$730, "Mortein")</f>
        <v/>
      </c>
      <c r="C120" s="12">
        <f>SUMIF('Inventory (Sorted)'!$C$4:$C$730, "Mortein", 'Inventory (Sorted)'!$H$4:$H$730)</f>
        <v/>
      </c>
      <c r="D120" s="13">
        <f>SUMIF('Inventory (Sorted)'!$C$4:$C$730, "Mortein", 'Inventory (Sorted)'!$I$4:$I$730)</f>
        <v/>
      </c>
      <c r="E120" s="13">
        <f>SUMIF('Inventory (Sorted)'!$C$4:$C$730, "Mortein", 'Inventory (Sorted)'!$J$4:$J$730)</f>
        <v/>
      </c>
      <c r="F120" s="13">
        <f>E120-D120</f>
        <v/>
      </c>
      <c r="G120" s="14">
        <f>IF(E120&gt;0, F120/E120, 0)</f>
        <v/>
      </c>
    </row>
    <row r="121">
      <c r="A121" s="15" t="inlineStr">
        <is>
          <t>Sachet</t>
        </is>
      </c>
      <c r="B121" s="16">
        <f>COUNTIF('Inventory (Sorted)'!$C$4:$C$730, "Sachet")</f>
        <v/>
      </c>
      <c r="C121" s="17">
        <f>SUMIF('Inventory (Sorted)'!$C$4:$C$730, "Sachet", 'Inventory (Sorted)'!$H$4:$H$730)</f>
        <v/>
      </c>
      <c r="D121" s="18">
        <f>SUMIF('Inventory (Sorted)'!$C$4:$C$730, "Sachet", 'Inventory (Sorted)'!$I$4:$I$730)</f>
        <v/>
      </c>
      <c r="E121" s="18">
        <f>SUMIF('Inventory (Sorted)'!$C$4:$C$730, "Sachet", 'Inventory (Sorted)'!$J$4:$J$730)</f>
        <v/>
      </c>
      <c r="F121" s="18">
        <f>E121-D121</f>
        <v/>
      </c>
      <c r="G121" s="19">
        <f>IF(E121&gt;0, F121/E121, 0)</f>
        <v/>
      </c>
    </row>
    <row r="122">
      <c r="A122" s="10" t="inlineStr">
        <is>
          <t>Glue</t>
        </is>
      </c>
      <c r="B122" s="11">
        <f>COUNTIF('Inventory (Sorted)'!$C$4:$C$730, "Glue")</f>
        <v/>
      </c>
      <c r="C122" s="12">
        <f>SUMIF('Inventory (Sorted)'!$C$4:$C$730, "Glue", 'Inventory (Sorted)'!$H$4:$H$730)</f>
        <v/>
      </c>
      <c r="D122" s="13">
        <f>SUMIF('Inventory (Sorted)'!$C$4:$C$730, "Glue", 'Inventory (Sorted)'!$I$4:$I$730)</f>
        <v/>
      </c>
      <c r="E122" s="13">
        <f>SUMIF('Inventory (Sorted)'!$C$4:$C$730, "Glue", 'Inventory (Sorted)'!$J$4:$J$730)</f>
        <v/>
      </c>
      <c r="F122" s="13">
        <f>E122-D122</f>
        <v/>
      </c>
      <c r="G122" s="14">
        <f>IF(E122&gt;0, F122/E122, 0)</f>
        <v/>
      </c>
    </row>
    <row r="123">
      <c r="A123" s="15" t="inlineStr">
        <is>
          <t>Mayonnaise</t>
        </is>
      </c>
      <c r="B123" s="16">
        <f>COUNTIF('Inventory (Sorted)'!$C$4:$C$730, "Mayonnaise")</f>
        <v/>
      </c>
      <c r="C123" s="17">
        <f>SUMIF('Inventory (Sorted)'!$C$4:$C$730, "Mayonnaise", 'Inventory (Sorted)'!$H$4:$H$730)</f>
        <v/>
      </c>
      <c r="D123" s="18">
        <f>SUMIF('Inventory (Sorted)'!$C$4:$C$730, "Mayonnaise", 'Inventory (Sorted)'!$I$4:$I$730)</f>
        <v/>
      </c>
      <c r="E123" s="18">
        <f>SUMIF('Inventory (Sorted)'!$C$4:$C$730, "Mayonnaise", 'Inventory (Sorted)'!$J$4:$J$730)</f>
        <v/>
      </c>
      <c r="F123" s="18">
        <f>E123-D123</f>
        <v/>
      </c>
      <c r="G123" s="19">
        <f>IF(E123&gt;0, F123/E123, 0)</f>
        <v/>
      </c>
    </row>
    <row r="124">
      <c r="A124" s="10" t="inlineStr">
        <is>
          <t>Ssauce</t>
        </is>
      </c>
      <c r="B124" s="11">
        <f>COUNTIF('Inventory (Sorted)'!$C$4:$C$730, "Ssauce")</f>
        <v/>
      </c>
      <c r="C124" s="12">
        <f>SUMIF('Inventory (Sorted)'!$C$4:$C$730, "Ssauce", 'Inventory (Sorted)'!$H$4:$H$730)</f>
        <v/>
      </c>
      <c r="D124" s="13">
        <f>SUMIF('Inventory (Sorted)'!$C$4:$C$730, "Ssauce", 'Inventory (Sorted)'!$I$4:$I$730)</f>
        <v/>
      </c>
      <c r="E124" s="13">
        <f>SUMIF('Inventory (Sorted)'!$C$4:$C$730, "Ssauce", 'Inventory (Sorted)'!$J$4:$J$730)</f>
        <v/>
      </c>
      <c r="F124" s="13">
        <f>E124-D124</f>
        <v/>
      </c>
      <c r="G124" s="14">
        <f>IF(E124&gt;0, F124/E124, 0)</f>
        <v/>
      </c>
    </row>
    <row r="125">
      <c r="A125" s="15" t="inlineStr">
        <is>
          <t>Hair Remover</t>
        </is>
      </c>
      <c r="B125" s="16">
        <f>COUNTIF('Inventory (Sorted)'!$C$4:$C$730, "Hair Remover")</f>
        <v/>
      </c>
      <c r="C125" s="17">
        <f>SUMIF('Inventory (Sorted)'!$C$4:$C$730, "Hair Remover", 'Inventory (Sorted)'!$H$4:$H$730)</f>
        <v/>
      </c>
      <c r="D125" s="18">
        <f>SUMIF('Inventory (Sorted)'!$C$4:$C$730, "Hair Remover", 'Inventory (Sorted)'!$I$4:$I$730)</f>
        <v/>
      </c>
      <c r="E125" s="18">
        <f>SUMIF('Inventory (Sorted)'!$C$4:$C$730, "Hair Remover", 'Inventory (Sorted)'!$J$4:$J$730)</f>
        <v/>
      </c>
      <c r="F125" s="18">
        <f>E125-D125</f>
        <v/>
      </c>
      <c r="G125" s="19">
        <f>IF(E125&gt;0, F125/E125, 0)</f>
        <v/>
      </c>
    </row>
    <row r="126">
      <c r="A126" s="10" t="inlineStr">
        <is>
          <t>Magga</t>
        </is>
      </c>
      <c r="B126" s="11">
        <f>COUNTIF('Inventory (Sorted)'!$C$4:$C$730, "Magga")</f>
        <v/>
      </c>
      <c r="C126" s="12">
        <f>SUMIF('Inventory (Sorted)'!$C$4:$C$730, "Magga", 'Inventory (Sorted)'!$H$4:$H$730)</f>
        <v/>
      </c>
      <c r="D126" s="13">
        <f>SUMIF('Inventory (Sorted)'!$C$4:$C$730, "Magga", 'Inventory (Sorted)'!$I$4:$I$730)</f>
        <v/>
      </c>
      <c r="E126" s="13">
        <f>SUMIF('Inventory (Sorted)'!$C$4:$C$730, "Magga", 'Inventory (Sorted)'!$J$4:$J$730)</f>
        <v/>
      </c>
      <c r="F126" s="13">
        <f>E126-D126</f>
        <v/>
      </c>
      <c r="G126" s="14">
        <f>IF(E126&gt;0, F126/E126, 0)</f>
        <v/>
      </c>
    </row>
    <row r="127">
      <c r="A127" s="15" t="inlineStr">
        <is>
          <t>Sauce</t>
        </is>
      </c>
      <c r="B127" s="16">
        <f>COUNTIF('Inventory (Sorted)'!$C$4:$C$730, "Sauce")</f>
        <v/>
      </c>
      <c r="C127" s="17">
        <f>SUMIF('Inventory (Sorted)'!$C$4:$C$730, "Sauce", 'Inventory (Sorted)'!$H$4:$H$730)</f>
        <v/>
      </c>
      <c r="D127" s="18">
        <f>SUMIF('Inventory (Sorted)'!$C$4:$C$730, "Sauce", 'Inventory (Sorted)'!$I$4:$I$730)</f>
        <v/>
      </c>
      <c r="E127" s="18">
        <f>SUMIF('Inventory (Sorted)'!$C$4:$C$730, "Sauce", 'Inventory (Sorted)'!$J$4:$J$730)</f>
        <v/>
      </c>
      <c r="F127" s="18">
        <f>E127-D127</f>
        <v/>
      </c>
      <c r="G127" s="19">
        <f>IF(E127&gt;0, F127/E127, 0)</f>
        <v/>
      </c>
    </row>
    <row r="128">
      <c r="A128" s="10" t="inlineStr">
        <is>
          <t>Bakery &amp; Bread</t>
        </is>
      </c>
      <c r="B128" s="11">
        <f>COUNTIF('Inventory (Sorted)'!$C$4:$C$730, "Bakery &amp; Bread")</f>
        <v/>
      </c>
      <c r="C128" s="12">
        <f>SUMIF('Inventory (Sorted)'!$C$4:$C$730, "Bakery &amp; Bread", 'Inventory (Sorted)'!$H$4:$H$730)</f>
        <v/>
      </c>
      <c r="D128" s="13">
        <f>SUMIF('Inventory (Sorted)'!$C$4:$C$730, "Bakery &amp; Bread", 'Inventory (Sorted)'!$I$4:$I$730)</f>
        <v/>
      </c>
      <c r="E128" s="13">
        <f>SUMIF('Inventory (Sorted)'!$C$4:$C$730, "Bakery &amp; Bread", 'Inventory (Sorted)'!$J$4:$J$730)</f>
        <v/>
      </c>
      <c r="F128" s="13">
        <f>E128-D128</f>
        <v/>
      </c>
      <c r="G128" s="14">
        <f>IF(E128&gt;0, F128/E128, 0)</f>
        <v/>
      </c>
    </row>
    <row r="129">
      <c r="A129" s="15" t="inlineStr">
        <is>
          <t>Air Fresshner</t>
        </is>
      </c>
      <c r="B129" s="16">
        <f>COUNTIF('Inventory (Sorted)'!$C$4:$C$730, "Air Fresshner")</f>
        <v/>
      </c>
      <c r="C129" s="17">
        <f>SUMIF('Inventory (Sorted)'!$C$4:$C$730, "Air Fresshner", 'Inventory (Sorted)'!$H$4:$H$730)</f>
        <v/>
      </c>
      <c r="D129" s="18">
        <f>SUMIF('Inventory (Sorted)'!$C$4:$C$730, "Air Fresshner", 'Inventory (Sorted)'!$I$4:$I$730)</f>
        <v/>
      </c>
      <c r="E129" s="18">
        <f>SUMIF('Inventory (Sorted)'!$C$4:$C$730, "Air Fresshner", 'Inventory (Sorted)'!$J$4:$J$730)</f>
        <v/>
      </c>
      <c r="F129" s="18">
        <f>E129-D129</f>
        <v/>
      </c>
      <c r="G129" s="19">
        <f>IF(E129&gt;0, F129/E129, 0)</f>
        <v/>
      </c>
    </row>
    <row r="130">
      <c r="A130" s="10" t="inlineStr">
        <is>
          <t>Cloth Clips</t>
        </is>
      </c>
      <c r="B130" s="11">
        <f>COUNTIF('Inventory (Sorted)'!$C$4:$C$730, "Cloth Clips")</f>
        <v/>
      </c>
      <c r="C130" s="12">
        <f>SUMIF('Inventory (Sorted)'!$C$4:$C$730, "Cloth Clips", 'Inventory (Sorted)'!$H$4:$H$730)</f>
        <v/>
      </c>
      <c r="D130" s="13">
        <f>SUMIF('Inventory (Sorted)'!$C$4:$C$730, "Cloth Clips", 'Inventory (Sorted)'!$I$4:$I$730)</f>
        <v/>
      </c>
      <c r="E130" s="13">
        <f>SUMIF('Inventory (Sorted)'!$C$4:$C$730, "Cloth Clips", 'Inventory (Sorted)'!$J$4:$J$730)</f>
        <v/>
      </c>
      <c r="F130" s="13">
        <f>E130-D130</f>
        <v/>
      </c>
      <c r="G130" s="14">
        <f>IF(E130&gt;0, F130/E130, 0)</f>
        <v/>
      </c>
    </row>
    <row r="131">
      <c r="A131" s="15" t="inlineStr">
        <is>
          <t>Cloth Clip</t>
        </is>
      </c>
      <c r="B131" s="16">
        <f>COUNTIF('Inventory (Sorted)'!$C$4:$C$730, "Cloth Clip")</f>
        <v/>
      </c>
      <c r="C131" s="17">
        <f>SUMIF('Inventory (Sorted)'!$C$4:$C$730, "Cloth Clip", 'Inventory (Sorted)'!$H$4:$H$730)</f>
        <v/>
      </c>
      <c r="D131" s="18">
        <f>SUMIF('Inventory (Sorted)'!$C$4:$C$730, "Cloth Clip", 'Inventory (Sorted)'!$I$4:$I$730)</f>
        <v/>
      </c>
      <c r="E131" s="18">
        <f>SUMIF('Inventory (Sorted)'!$C$4:$C$730, "Cloth Clip", 'Inventory (Sorted)'!$J$4:$J$730)</f>
        <v/>
      </c>
      <c r="F131" s="18">
        <f>E131-D131</f>
        <v/>
      </c>
      <c r="G131" s="19">
        <f>IF(E131&gt;0, F131/E131, 0)</f>
        <v/>
      </c>
    </row>
    <row r="132">
      <c r="A132" s="10" t="inlineStr">
        <is>
          <t>Powder</t>
        </is>
      </c>
      <c r="B132" s="11">
        <f>COUNTIF('Inventory (Sorted)'!$C$4:$C$730, "Powder")</f>
        <v/>
      </c>
      <c r="C132" s="12">
        <f>SUMIF('Inventory (Sorted)'!$C$4:$C$730, "Powder", 'Inventory (Sorted)'!$H$4:$H$730)</f>
        <v/>
      </c>
      <c r="D132" s="13">
        <f>SUMIF('Inventory (Sorted)'!$C$4:$C$730, "Powder", 'Inventory (Sorted)'!$I$4:$I$730)</f>
        <v/>
      </c>
      <c r="E132" s="13">
        <f>SUMIF('Inventory (Sorted)'!$C$4:$C$730, "Powder", 'Inventory (Sorted)'!$J$4:$J$730)</f>
        <v/>
      </c>
      <c r="F132" s="13">
        <f>E132-D132</f>
        <v/>
      </c>
      <c r="G132" s="14">
        <f>IF(E132&gt;0, F132/E132, 0)</f>
        <v/>
      </c>
    </row>
    <row r="133">
      <c r="A133" s="15" t="inlineStr">
        <is>
          <t>Liquid Hand Wash</t>
        </is>
      </c>
      <c r="B133" s="16">
        <f>COUNTIF('Inventory (Sorted)'!$C$4:$C$730, "Liquid Hand Wash")</f>
        <v/>
      </c>
      <c r="C133" s="17">
        <f>SUMIF('Inventory (Sorted)'!$C$4:$C$730, "Liquid Hand Wash", 'Inventory (Sorted)'!$H$4:$H$730)</f>
        <v/>
      </c>
      <c r="D133" s="18">
        <f>SUMIF('Inventory (Sorted)'!$C$4:$C$730, "Liquid Hand Wash", 'Inventory (Sorted)'!$I$4:$I$730)</f>
        <v/>
      </c>
      <c r="E133" s="18">
        <f>SUMIF('Inventory (Sorted)'!$C$4:$C$730, "Liquid Hand Wash", 'Inventory (Sorted)'!$J$4:$J$730)</f>
        <v/>
      </c>
      <c r="F133" s="18">
        <f>E133-D133</f>
        <v/>
      </c>
      <c r="G133" s="19">
        <f>IF(E133&gt;0, F133/E133, 0)</f>
        <v/>
      </c>
    </row>
    <row r="134">
      <c r="A134" s="10" t="inlineStr">
        <is>
          <t>Acid</t>
        </is>
      </c>
      <c r="B134" s="11">
        <f>COUNTIF('Inventory (Sorted)'!$C$4:$C$730, "Acid")</f>
        <v/>
      </c>
      <c r="C134" s="12">
        <f>SUMIF('Inventory (Sorted)'!$C$4:$C$730, "Acid", 'Inventory (Sorted)'!$H$4:$H$730)</f>
        <v/>
      </c>
      <c r="D134" s="13">
        <f>SUMIF('Inventory (Sorted)'!$C$4:$C$730, "Acid", 'Inventory (Sorted)'!$I$4:$I$730)</f>
        <v/>
      </c>
      <c r="E134" s="13">
        <f>SUMIF('Inventory (Sorted)'!$C$4:$C$730, "Acid", 'Inventory (Sorted)'!$J$4:$J$730)</f>
        <v/>
      </c>
      <c r="F134" s="13">
        <f>E134-D134</f>
        <v/>
      </c>
      <c r="G134" s="14">
        <f>IF(E134&gt;0, F134/E134, 0)</f>
        <v/>
      </c>
    </row>
    <row r="135">
      <c r="A135" s="15" t="inlineStr">
        <is>
          <t>Powdered</t>
        </is>
      </c>
      <c r="B135" s="16">
        <f>COUNTIF('Inventory (Sorted)'!$C$4:$C$730, "Powdered")</f>
        <v/>
      </c>
      <c r="C135" s="17">
        <f>SUMIF('Inventory (Sorted)'!$C$4:$C$730, "Powdered", 'Inventory (Sorted)'!$H$4:$H$730)</f>
        <v/>
      </c>
      <c r="D135" s="18">
        <f>SUMIF('Inventory (Sorted)'!$C$4:$C$730, "Powdered", 'Inventory (Sorted)'!$I$4:$I$730)</f>
        <v/>
      </c>
      <c r="E135" s="18">
        <f>SUMIF('Inventory (Sorted)'!$C$4:$C$730, "Powdered", 'Inventory (Sorted)'!$J$4:$J$730)</f>
        <v/>
      </c>
      <c r="F135" s="18">
        <f>E135-D135</f>
        <v/>
      </c>
      <c r="G135" s="19">
        <f>IF(E135&gt;0, F135/E135, 0)</f>
        <v/>
      </c>
    </row>
    <row r="136">
      <c r="A136" s="10" t="inlineStr">
        <is>
          <t>Salt</t>
        </is>
      </c>
      <c r="B136" s="11">
        <f>COUNTIF('Inventory (Sorted)'!$C$4:$C$730, "Salt")</f>
        <v/>
      </c>
      <c r="C136" s="12">
        <f>SUMIF('Inventory (Sorted)'!$C$4:$C$730, "Salt", 'Inventory (Sorted)'!$H$4:$H$730)</f>
        <v/>
      </c>
      <c r="D136" s="13">
        <f>SUMIF('Inventory (Sorted)'!$C$4:$C$730, "Salt", 'Inventory (Sorted)'!$I$4:$I$730)</f>
        <v/>
      </c>
      <c r="E136" s="13">
        <f>SUMIF('Inventory (Sorted)'!$C$4:$C$730, "Salt", 'Inventory (Sorted)'!$J$4:$J$730)</f>
        <v/>
      </c>
      <c r="F136" s="13">
        <f>E136-D136</f>
        <v/>
      </c>
      <c r="G136" s="14">
        <f>IF(E136&gt;0, F136/E136, 0)</f>
        <v/>
      </c>
    </row>
    <row r="137">
      <c r="A137" s="15" t="inlineStr">
        <is>
          <t>Staples</t>
        </is>
      </c>
      <c r="B137" s="16">
        <f>COUNTIF('Inventory (Sorted)'!$C$4:$C$730, "Staples")</f>
        <v/>
      </c>
      <c r="C137" s="17">
        <f>SUMIF('Inventory (Sorted)'!$C$4:$C$730, "Staples", 'Inventory (Sorted)'!$H$4:$H$730)</f>
        <v/>
      </c>
      <c r="D137" s="18">
        <f>SUMIF('Inventory (Sorted)'!$C$4:$C$730, "Staples", 'Inventory (Sorted)'!$I$4:$I$730)</f>
        <v/>
      </c>
      <c r="E137" s="18">
        <f>SUMIF('Inventory (Sorted)'!$C$4:$C$730, "Staples", 'Inventory (Sorted)'!$J$4:$J$730)</f>
        <v/>
      </c>
      <c r="F137" s="18">
        <f>E137-D137</f>
        <v/>
      </c>
      <c r="G137" s="19">
        <f>IF(E137&gt;0, F137/E137, 0)</f>
        <v/>
      </c>
    </row>
    <row r="138">
      <c r="A138" s="10" t="inlineStr">
        <is>
          <t>Feeding Nipple</t>
        </is>
      </c>
      <c r="B138" s="11">
        <f>COUNTIF('Inventory (Sorted)'!$C$4:$C$730, "Feeding Nipple")</f>
        <v/>
      </c>
      <c r="C138" s="12">
        <f>SUMIF('Inventory (Sorted)'!$C$4:$C$730, "Feeding Nipple", 'Inventory (Sorted)'!$H$4:$H$730)</f>
        <v/>
      </c>
      <c r="D138" s="13">
        <f>SUMIF('Inventory (Sorted)'!$C$4:$C$730, "Feeding Nipple", 'Inventory (Sorted)'!$I$4:$I$730)</f>
        <v/>
      </c>
      <c r="E138" s="13">
        <f>SUMIF('Inventory (Sorted)'!$C$4:$C$730, "Feeding Nipple", 'Inventory (Sorted)'!$J$4:$J$730)</f>
        <v/>
      </c>
      <c r="F138" s="13">
        <f>E138-D138</f>
        <v/>
      </c>
      <c r="G138" s="14">
        <f>IF(E138&gt;0, F138/E138, 0)</f>
        <v/>
      </c>
    </row>
    <row r="139">
      <c r="A139" s="15" t="inlineStr">
        <is>
          <t>Insect Killer</t>
        </is>
      </c>
      <c r="B139" s="16">
        <f>COUNTIF('Inventory (Sorted)'!$C$4:$C$730, "Insect Killer")</f>
        <v/>
      </c>
      <c r="C139" s="17">
        <f>SUMIF('Inventory (Sorted)'!$C$4:$C$730, "Insect Killer", 'Inventory (Sorted)'!$H$4:$H$730)</f>
        <v/>
      </c>
      <c r="D139" s="18">
        <f>SUMIF('Inventory (Sorted)'!$C$4:$C$730, "Insect Killer", 'Inventory (Sorted)'!$I$4:$I$730)</f>
        <v/>
      </c>
      <c r="E139" s="18">
        <f>SUMIF('Inventory (Sorted)'!$C$4:$C$730, "Insect Killer", 'Inventory (Sorted)'!$J$4:$J$730)</f>
        <v/>
      </c>
      <c r="F139" s="18">
        <f>E139-D139</f>
        <v/>
      </c>
      <c r="G139" s="19">
        <f>IF(E139&gt;0, F139/E139, 0)</f>
        <v/>
      </c>
    </row>
    <row r="140">
      <c r="A140" s="10" t="inlineStr">
        <is>
          <t>Lotion</t>
        </is>
      </c>
      <c r="B140" s="11">
        <f>COUNTIF('Inventory (Sorted)'!$C$4:$C$730, "Lotion")</f>
        <v/>
      </c>
      <c r="C140" s="12">
        <f>SUMIF('Inventory (Sorted)'!$C$4:$C$730, "Lotion", 'Inventory (Sorted)'!$H$4:$H$730)</f>
        <v/>
      </c>
      <c r="D140" s="13">
        <f>SUMIF('Inventory (Sorted)'!$C$4:$C$730, "Lotion", 'Inventory (Sorted)'!$I$4:$I$730)</f>
        <v/>
      </c>
      <c r="E140" s="13">
        <f>SUMIF('Inventory (Sorted)'!$C$4:$C$730, "Lotion", 'Inventory (Sorted)'!$J$4:$J$730)</f>
        <v/>
      </c>
      <c r="F140" s="13">
        <f>E140-D140</f>
        <v/>
      </c>
      <c r="G140" s="14">
        <f>IF(E140&gt;0, F140/E140, 0)</f>
        <v/>
      </c>
    </row>
    <row r="141">
      <c r="A141" s="15" t="inlineStr">
        <is>
          <t>Noodle</t>
        </is>
      </c>
      <c r="B141" s="16">
        <f>COUNTIF('Inventory (Sorted)'!$C$4:$C$730, "Noodle")</f>
        <v/>
      </c>
      <c r="C141" s="17">
        <f>SUMIF('Inventory (Sorted)'!$C$4:$C$730, "Noodle", 'Inventory (Sorted)'!$H$4:$H$730)</f>
        <v/>
      </c>
      <c r="D141" s="18">
        <f>SUMIF('Inventory (Sorted)'!$C$4:$C$730, "Noodle", 'Inventory (Sorted)'!$I$4:$I$730)</f>
        <v/>
      </c>
      <c r="E141" s="18">
        <f>SUMIF('Inventory (Sorted)'!$C$4:$C$730, "Noodle", 'Inventory (Sorted)'!$J$4:$J$730)</f>
        <v/>
      </c>
      <c r="F141" s="18">
        <f>E141-D141</f>
        <v/>
      </c>
      <c r="G141" s="19">
        <f>IF(E141&gt;0, F141/E141, 0)</f>
        <v/>
      </c>
    </row>
    <row r="142">
      <c r="A142" s="10" t="inlineStr">
        <is>
          <t>Shapner</t>
        </is>
      </c>
      <c r="B142" s="11">
        <f>COUNTIF('Inventory (Sorted)'!$C$4:$C$730, "Shapner")</f>
        <v/>
      </c>
      <c r="C142" s="12">
        <f>SUMIF('Inventory (Sorted)'!$C$4:$C$730, "Shapner", 'Inventory (Sorted)'!$H$4:$H$730)</f>
        <v/>
      </c>
      <c r="D142" s="13">
        <f>SUMIF('Inventory (Sorted)'!$C$4:$C$730, "Shapner", 'Inventory (Sorted)'!$I$4:$I$730)</f>
        <v/>
      </c>
      <c r="E142" s="13">
        <f>SUMIF('Inventory (Sorted)'!$C$4:$C$730, "Shapner", 'Inventory (Sorted)'!$J$4:$J$730)</f>
        <v/>
      </c>
      <c r="F142" s="13">
        <f>E142-D142</f>
        <v/>
      </c>
      <c r="G142" s="14">
        <f>IF(E142&gt;0, F142/E142, 0)</f>
        <v/>
      </c>
    </row>
    <row r="143">
      <c r="A143" s="15" t="inlineStr">
        <is>
          <t>Sstaples</t>
        </is>
      </c>
      <c r="B143" s="16">
        <f>COUNTIF('Inventory (Sorted)'!$C$4:$C$730, "Sstaples")</f>
        <v/>
      </c>
      <c r="C143" s="17">
        <f>SUMIF('Inventory (Sorted)'!$C$4:$C$730, "Sstaples", 'Inventory (Sorted)'!$H$4:$H$730)</f>
        <v/>
      </c>
      <c r="D143" s="18">
        <f>SUMIF('Inventory (Sorted)'!$C$4:$C$730, "Sstaples", 'Inventory (Sorted)'!$I$4:$I$730)</f>
        <v/>
      </c>
      <c r="E143" s="18">
        <f>SUMIF('Inventory (Sorted)'!$C$4:$C$730, "Sstaples", 'Inventory (Sorted)'!$J$4:$J$730)</f>
        <v/>
      </c>
      <c r="F143" s="18">
        <f>E143-D143</f>
        <v/>
      </c>
      <c r="G143" s="19">
        <f>IF(E143&gt;0, F143/E143, 0)</f>
        <v/>
      </c>
    </row>
    <row r="144">
      <c r="A144" s="10" t="inlineStr">
        <is>
          <t>Lip Cream</t>
        </is>
      </c>
      <c r="B144" s="11">
        <f>COUNTIF('Inventory (Sorted)'!$C$4:$C$730, "Lip Cream")</f>
        <v/>
      </c>
      <c r="C144" s="12">
        <f>SUMIF('Inventory (Sorted)'!$C$4:$C$730, "Lip Cream", 'Inventory (Sorted)'!$H$4:$H$730)</f>
        <v/>
      </c>
      <c r="D144" s="13">
        <f>SUMIF('Inventory (Sorted)'!$C$4:$C$730, "Lip Cream", 'Inventory (Sorted)'!$I$4:$I$730)</f>
        <v/>
      </c>
      <c r="E144" s="13">
        <f>SUMIF('Inventory (Sorted)'!$C$4:$C$730, "Lip Cream", 'Inventory (Sorted)'!$J$4:$J$730)</f>
        <v/>
      </c>
      <c r="F144" s="13">
        <f>E144-D144</f>
        <v/>
      </c>
      <c r="G144" s="14">
        <f>IF(E144&gt;0, F144/E144, 0)</f>
        <v/>
      </c>
    </row>
    <row r="145">
      <c r="A145" s="15" t="inlineStr">
        <is>
          <t>Ink</t>
        </is>
      </c>
      <c r="B145" s="16">
        <f>COUNTIF('Inventory (Sorted)'!$C$4:$C$730, "Ink")</f>
        <v/>
      </c>
      <c r="C145" s="17">
        <f>SUMIF('Inventory (Sorted)'!$C$4:$C$730, "Ink", 'Inventory (Sorted)'!$H$4:$H$730)</f>
        <v/>
      </c>
      <c r="D145" s="18">
        <f>SUMIF('Inventory (Sorted)'!$C$4:$C$730, "Ink", 'Inventory (Sorted)'!$I$4:$I$730)</f>
        <v/>
      </c>
      <c r="E145" s="18">
        <f>SUMIF('Inventory (Sorted)'!$C$4:$C$730, "Ink", 'Inventory (Sorted)'!$J$4:$J$730)</f>
        <v/>
      </c>
      <c r="F145" s="18">
        <f>E145-D145</f>
        <v/>
      </c>
      <c r="G145" s="19">
        <f>IF(E145&gt;0, F145/E145, 0)</f>
        <v/>
      </c>
    </row>
    <row r="146">
      <c r="A146" s="10" t="inlineStr">
        <is>
          <t>Toilet Cleaner</t>
        </is>
      </c>
      <c r="B146" s="11">
        <f>COUNTIF('Inventory (Sorted)'!$C$4:$C$730, "Toilet Cleaner")</f>
        <v/>
      </c>
      <c r="C146" s="12">
        <f>SUMIF('Inventory (Sorted)'!$C$4:$C$730, "Toilet Cleaner", 'Inventory (Sorted)'!$H$4:$H$730)</f>
        <v/>
      </c>
      <c r="D146" s="13">
        <f>SUMIF('Inventory (Sorted)'!$C$4:$C$730, "Toilet Cleaner", 'Inventory (Sorted)'!$I$4:$I$730)</f>
        <v/>
      </c>
      <c r="E146" s="13">
        <f>SUMIF('Inventory (Sorted)'!$C$4:$C$730, "Toilet Cleaner", 'Inventory (Sorted)'!$J$4:$J$730)</f>
        <v/>
      </c>
      <c r="F146" s="13">
        <f>E146-D146</f>
        <v/>
      </c>
      <c r="G146" s="14">
        <f>IF(E146&gt;0, F146/E146, 0)</f>
        <v/>
      </c>
    </row>
    <row r="147">
      <c r="A147" s="15" t="inlineStr">
        <is>
          <t>Salty</t>
        </is>
      </c>
      <c r="B147" s="16">
        <f>COUNTIF('Inventory (Sorted)'!$C$4:$C$730, "Salty")</f>
        <v/>
      </c>
      <c r="C147" s="17">
        <f>SUMIF('Inventory (Sorted)'!$C$4:$C$730, "Salty", 'Inventory (Sorted)'!$H$4:$H$730)</f>
        <v/>
      </c>
      <c r="D147" s="18">
        <f>SUMIF('Inventory (Sorted)'!$C$4:$C$730, "Salty", 'Inventory (Sorted)'!$I$4:$I$730)</f>
        <v/>
      </c>
      <c r="E147" s="18">
        <f>SUMIF('Inventory (Sorted)'!$C$4:$C$730, "Salty", 'Inventory (Sorted)'!$J$4:$J$730)</f>
        <v/>
      </c>
      <c r="F147" s="18">
        <f>E147-D147</f>
        <v/>
      </c>
      <c r="G147" s="19">
        <f>IF(E147&gt;0, F147/E147, 0)</f>
        <v/>
      </c>
    </row>
    <row r="148">
      <c r="A148" s="10" t="inlineStr">
        <is>
          <t>Chickpea</t>
        </is>
      </c>
      <c r="B148" s="11">
        <f>COUNTIF('Inventory (Sorted)'!$C$4:$C$730, "Chickpea")</f>
        <v/>
      </c>
      <c r="C148" s="12">
        <f>SUMIF('Inventory (Sorted)'!$C$4:$C$730, "Chickpea", 'Inventory (Sorted)'!$H$4:$H$730)</f>
        <v/>
      </c>
      <c r="D148" s="13">
        <f>SUMIF('Inventory (Sorted)'!$C$4:$C$730, "Chickpea", 'Inventory (Sorted)'!$I$4:$I$730)</f>
        <v/>
      </c>
      <c r="E148" s="13">
        <f>SUMIF('Inventory (Sorted)'!$C$4:$C$730, "Chickpea", 'Inventory (Sorted)'!$J$4:$J$730)</f>
        <v/>
      </c>
      <c r="F148" s="13">
        <f>E148-D148</f>
        <v/>
      </c>
      <c r="G148" s="14">
        <f>IF(E148&gt;0, F148/E148, 0)</f>
        <v/>
      </c>
    </row>
    <row r="149">
      <c r="A149" s="20" t="inlineStr">
        <is>
          <t>Total / Portfolio Average</t>
        </is>
      </c>
      <c r="B149" s="21">
        <f>SUM(B10:B148)</f>
        <v/>
      </c>
      <c r="C149" s="22">
        <f>SUM(C10:C148)</f>
        <v/>
      </c>
      <c r="D149" s="23">
        <f>SUM(D10:D148)</f>
        <v/>
      </c>
      <c r="E149" s="23">
        <f>SUM(E10:E148)</f>
        <v/>
      </c>
      <c r="F149" s="23">
        <f>E149-D149</f>
        <v/>
      </c>
      <c r="G149" s="24">
        <f>F149/E149</f>
        <v/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1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40" customWidth="1" min="2" max="2"/>
    <col width="28" customWidth="1" min="3" max="3"/>
    <col width="22" customWidth="1" min="4" max="4"/>
    <col width="18" customWidth="1" min="5" max="5"/>
    <col width="18" customWidth="1" min="6" max="6"/>
    <col width="20" customWidth="1" min="7" max="7"/>
    <col width="20" customWidth="1" min="8" max="8"/>
    <col width="23" customWidth="1" min="9" max="9"/>
    <col width="23" customWidth="1" min="10" max="10"/>
    <col width="70" customWidth="1" min="11" max="11"/>
    <col width="23" customWidth="1" min="12" max="12"/>
  </cols>
  <sheetData>
    <row r="1">
      <c r="A1" s="25" t="inlineStr">
        <is>
          <t>COMPLETE STORE INVENTORY (SORTED BY CATEGORY)</t>
        </is>
      </c>
    </row>
    <row r="2"/>
    <row r="3">
      <c r="A3" s="9" t="inlineStr">
        <is>
          <t>Barcode / SKU</t>
        </is>
      </c>
      <c r="B3" s="9" t="inlineStr">
        <is>
          <t>Product Name</t>
        </is>
      </c>
      <c r="C3" s="9" t="inlineStr">
        <is>
          <t>Category Group</t>
        </is>
      </c>
      <c r="D3" s="9" t="inlineStr">
        <is>
          <t>Original Category</t>
        </is>
      </c>
      <c r="E3" s="9" t="inlineStr">
        <is>
          <t>Purchase Price</t>
        </is>
      </c>
      <c r="F3" s="9" t="inlineStr">
        <is>
          <t>Sale Price</t>
        </is>
      </c>
      <c r="G3" s="9" t="inlineStr">
        <is>
          <t>Unit Margin</t>
        </is>
      </c>
      <c r="H3" s="9" t="inlineStr">
        <is>
          <t>Stock Qty</t>
        </is>
      </c>
      <c r="I3" s="9" t="inlineStr">
        <is>
          <t>Total Cost Value</t>
        </is>
      </c>
      <c r="J3" s="9" t="inlineStr">
        <is>
          <t>Total Retail Value</t>
        </is>
      </c>
      <c r="K3" s="9" t="inlineStr">
        <is>
          <t>Stock Status</t>
        </is>
      </c>
      <c r="L3" s="9" t="inlineStr">
        <is>
          <t>Date Added</t>
        </is>
      </c>
    </row>
    <row r="4">
      <c r="A4" s="26" t="inlineStr">
        <is>
          <t>1425738481454</t>
        </is>
      </c>
      <c r="B4" s="10" t="inlineStr">
        <is>
          <t>BLACK TIGER ACID</t>
        </is>
      </c>
      <c r="C4" s="10" t="inlineStr">
        <is>
          <t>Acid</t>
        </is>
      </c>
      <c r="D4" s="10" t="inlineStr">
        <is>
          <t>Acid</t>
        </is>
      </c>
      <c r="E4" s="13" t="n">
        <v>47</v>
      </c>
      <c r="F4" s="13" t="n">
        <v>80</v>
      </c>
      <c r="G4" s="13">
        <f>F4-E4</f>
        <v/>
      </c>
      <c r="H4" s="27" t="n">
        <v>10</v>
      </c>
      <c r="I4" s="13">
        <f>E4*H4</f>
        <v/>
      </c>
      <c r="J4" s="13">
        <f>F4*H4</f>
        <v/>
      </c>
      <c r="K4" s="26">
        <f>IF(H4&lt;=0, "Out of Stock", IF(H4&lt;=5, "Low Stock", "In Stock"))</f>
        <v/>
      </c>
      <c r="L4" s="26" t="inlineStr">
        <is>
          <t>2025-07-14 06:15 PM</t>
        </is>
      </c>
    </row>
    <row r="5">
      <c r="A5" s="28" t="inlineStr">
        <is>
          <t>8964003538491</t>
        </is>
      </c>
      <c r="B5" s="15" t="inlineStr">
        <is>
          <t>CORAL AIR FRESHNER BERRY</t>
        </is>
      </c>
      <c r="C5" s="15" t="inlineStr">
        <is>
          <t>Air Freshner</t>
        </is>
      </c>
      <c r="D5" s="15" t="inlineStr">
        <is>
          <t>Air Freshner</t>
        </is>
      </c>
      <c r="E5" s="18" t="n">
        <v>210</v>
      </c>
      <c r="F5" s="18" t="n">
        <v>350</v>
      </c>
      <c r="G5" s="18">
        <f>F5-E5</f>
        <v/>
      </c>
      <c r="H5" s="29" t="n">
        <v>3</v>
      </c>
      <c r="I5" s="18">
        <f>E5*H5</f>
        <v/>
      </c>
      <c r="J5" s="18">
        <f>F5*H5</f>
        <v/>
      </c>
      <c r="K5" s="28">
        <f>IF(H5&lt;=0, "Out of Stock", IF(H5&lt;=5, "Low Stock", "In Stock"))</f>
        <v/>
      </c>
      <c r="L5" s="28" t="inlineStr">
        <is>
          <t>2025-07-15 12:05 PM</t>
        </is>
      </c>
    </row>
    <row r="6">
      <c r="A6" s="26" t="inlineStr">
        <is>
          <t>8964003538675</t>
        </is>
      </c>
      <c r="B6" s="10" t="inlineStr">
        <is>
          <t>CORAL AIR FRESHNER BLACK ICE</t>
        </is>
      </c>
      <c r="C6" s="10" t="inlineStr">
        <is>
          <t>Air Freshner</t>
        </is>
      </c>
      <c r="D6" s="10" t="inlineStr">
        <is>
          <t>Air Freshner</t>
        </is>
      </c>
      <c r="E6" s="13" t="n">
        <v>210</v>
      </c>
      <c r="F6" s="13" t="n">
        <v>350</v>
      </c>
      <c r="G6" s="13">
        <f>F6-E6</f>
        <v/>
      </c>
      <c r="H6" s="27" t="n">
        <v>2</v>
      </c>
      <c r="I6" s="13">
        <f>E6*H6</f>
        <v/>
      </c>
      <c r="J6" s="13">
        <f>F6*H6</f>
        <v/>
      </c>
      <c r="K6" s="26">
        <f>IF(H6&lt;=0, "Out of Stock", IF(H6&lt;=5, "Low Stock", "In Stock"))</f>
        <v/>
      </c>
      <c r="L6" s="26" t="inlineStr">
        <is>
          <t>2025-07-15 12:01 PM</t>
        </is>
      </c>
    </row>
    <row r="7">
      <c r="A7" s="28" t="inlineStr">
        <is>
          <t>8964003538453</t>
        </is>
      </c>
      <c r="B7" s="15" t="inlineStr">
        <is>
          <t>CORAL AIR FRESHNER OCEAN</t>
        </is>
      </c>
      <c r="C7" s="15" t="inlineStr">
        <is>
          <t>Air Freshner</t>
        </is>
      </c>
      <c r="D7" s="15" t="inlineStr">
        <is>
          <t>Air Freshner</t>
        </is>
      </c>
      <c r="E7" s="18" t="n">
        <v>210</v>
      </c>
      <c r="F7" s="18" t="n">
        <v>350</v>
      </c>
      <c r="G7" s="18">
        <f>F7-E7</f>
        <v/>
      </c>
      <c r="H7" s="29" t="n">
        <v>12</v>
      </c>
      <c r="I7" s="18">
        <f>E7*H7</f>
        <v/>
      </c>
      <c r="J7" s="18">
        <f>F7*H7</f>
        <v/>
      </c>
      <c r="K7" s="28">
        <f>IF(H7&lt;=0, "Out of Stock", IF(H7&lt;=5, "Low Stock", "In Stock"))</f>
        <v/>
      </c>
      <c r="L7" s="28" t="inlineStr">
        <is>
          <t>2025-07-15 12:02 PM</t>
        </is>
      </c>
    </row>
    <row r="8">
      <c r="A8" s="26" t="inlineStr">
        <is>
          <t>8964003538507</t>
        </is>
      </c>
      <c r="B8" s="10" t="inlineStr">
        <is>
          <t>CORAL AIR FRESHNER ORANGE</t>
        </is>
      </c>
      <c r="C8" s="10" t="inlineStr">
        <is>
          <t>Air Freshner</t>
        </is>
      </c>
      <c r="D8" s="10" t="inlineStr">
        <is>
          <t>Air Freshner</t>
        </is>
      </c>
      <c r="E8" s="13" t="n">
        <v>210</v>
      </c>
      <c r="F8" s="13" t="n">
        <v>350</v>
      </c>
      <c r="G8" s="13">
        <f>F8-E8</f>
        <v/>
      </c>
      <c r="H8" s="27" t="n">
        <v>4</v>
      </c>
      <c r="I8" s="13">
        <f>E8*H8</f>
        <v/>
      </c>
      <c r="J8" s="13">
        <f>F8*H8</f>
        <v/>
      </c>
      <c r="K8" s="26">
        <f>IF(H8&lt;=0, "Out of Stock", IF(H8&lt;=5, "Low Stock", "In Stock"))</f>
        <v/>
      </c>
      <c r="L8" s="26" t="inlineStr">
        <is>
          <t>2025-07-15 12:03 PM</t>
        </is>
      </c>
    </row>
    <row r="9">
      <c r="A9" s="28" t="inlineStr">
        <is>
          <t>8964003538477</t>
        </is>
      </c>
      <c r="B9" s="15" t="inlineStr">
        <is>
          <t>CORAL AIR FRESHNER</t>
        </is>
      </c>
      <c r="C9" s="15" t="inlineStr">
        <is>
          <t>Air Fresshner</t>
        </is>
      </c>
      <c r="D9" s="15" t="inlineStr">
        <is>
          <t>Air Fresshner</t>
        </is>
      </c>
      <c r="E9" s="18" t="n">
        <v>210</v>
      </c>
      <c r="F9" s="18" t="n">
        <v>350</v>
      </c>
      <c r="G9" s="18">
        <f>F9-E9</f>
        <v/>
      </c>
      <c r="H9" s="29" t="n">
        <v>3</v>
      </c>
      <c r="I9" s="18">
        <f>E9*H9</f>
        <v/>
      </c>
      <c r="J9" s="18">
        <f>F9*H9</f>
        <v/>
      </c>
      <c r="K9" s="28">
        <f>IF(H9&lt;=0, "Out of Stock", IF(H9&lt;=5, "Low Stock", "In Stock"))</f>
        <v/>
      </c>
      <c r="L9" s="28" t="inlineStr">
        <is>
          <t>2025-07-15 12:00 PM</t>
        </is>
      </c>
    </row>
    <row r="10">
      <c r="A10" s="26" t="inlineStr">
        <is>
          <t>8991111109121</t>
        </is>
      </c>
      <c r="B10" s="10" t="inlineStr">
        <is>
          <t>JOHANSONS BABY POWDER</t>
        </is>
      </c>
      <c r="C10" s="10" t="inlineStr">
        <is>
          <t>Baby Care</t>
        </is>
      </c>
      <c r="D10" s="10" t="inlineStr">
        <is>
          <t>Baby Powder</t>
        </is>
      </c>
      <c r="E10" s="13" t="n">
        <v>155</v>
      </c>
      <c r="F10" s="13" t="n">
        <v>200</v>
      </c>
      <c r="G10" s="13">
        <f>F10-E10</f>
        <v/>
      </c>
      <c r="H10" s="27" t="n">
        <v>11</v>
      </c>
      <c r="I10" s="13">
        <f>E10*H10</f>
        <v/>
      </c>
      <c r="J10" s="13">
        <f>F10*H10</f>
        <v/>
      </c>
      <c r="K10" s="26">
        <f>IF(H10&lt;=0, "Out of Stock", IF(H10&lt;=5, "Low Stock", "In Stock"))</f>
        <v/>
      </c>
      <c r="L10" s="26" t="inlineStr">
        <is>
          <t>2025-07-14 03:46 PM</t>
        </is>
      </c>
    </row>
    <row r="11">
      <c r="A11" s="28" t="inlineStr">
        <is>
          <t>8063304010009</t>
        </is>
      </c>
      <c r="B11" s="15" t="inlineStr">
        <is>
          <t>COOL SOFT BABY WIPES</t>
        </is>
      </c>
      <c r="C11" s="15" t="inlineStr">
        <is>
          <t>Baby Care</t>
        </is>
      </c>
      <c r="D11" s="15" t="inlineStr">
        <is>
          <t>Baby Wipes</t>
        </is>
      </c>
      <c r="E11" s="18" t="n">
        <v>380</v>
      </c>
      <c r="F11" s="18" t="n">
        <v>450</v>
      </c>
      <c r="G11" s="18">
        <f>F11-E11</f>
        <v/>
      </c>
      <c r="H11" s="29" t="n">
        <v>13</v>
      </c>
      <c r="I11" s="18">
        <f>E11*H11</f>
        <v/>
      </c>
      <c r="J11" s="18">
        <f>F11*H11</f>
        <v/>
      </c>
      <c r="K11" s="28">
        <f>IF(H11&lt;=0, "Out of Stock", IF(H11&lt;=5, "Low Stock", "In Stock"))</f>
        <v/>
      </c>
      <c r="L11" s="28" t="inlineStr">
        <is>
          <t>2025-07-13 03:45 PM</t>
        </is>
      </c>
    </row>
    <row r="12">
      <c r="A12" s="26" t="inlineStr">
        <is>
          <t>8993560027544</t>
        </is>
      </c>
      <c r="B12" s="10" t="inlineStr">
        <is>
          <t>DETTOL BABY WIPES</t>
        </is>
      </c>
      <c r="C12" s="10" t="inlineStr">
        <is>
          <t>Baby Care</t>
        </is>
      </c>
      <c r="D12" s="10" t="inlineStr">
        <is>
          <t>Baby Wipes</t>
        </is>
      </c>
      <c r="E12" s="13" t="n">
        <v>150</v>
      </c>
      <c r="F12" s="13" t="n">
        <v>250</v>
      </c>
      <c r="G12" s="13">
        <f>F12-E12</f>
        <v/>
      </c>
      <c r="H12" s="27" t="n">
        <v>8</v>
      </c>
      <c r="I12" s="13">
        <f>E12*H12</f>
        <v/>
      </c>
      <c r="J12" s="13">
        <f>F12*H12</f>
        <v/>
      </c>
      <c r="K12" s="26">
        <f>IF(H12&lt;=0, "Out of Stock", IF(H12&lt;=5, "Low Stock", "In Stock"))</f>
        <v/>
      </c>
      <c r="L12" s="26" t="inlineStr">
        <is>
          <t>2025-07-13 03:52 PM</t>
        </is>
      </c>
    </row>
    <row r="13">
      <c r="A13" s="28" t="inlineStr">
        <is>
          <t>5559666888873</t>
        </is>
      </c>
      <c r="B13" s="15" t="inlineStr">
        <is>
          <t>JEEP BABY WIPES</t>
        </is>
      </c>
      <c r="C13" s="15" t="inlineStr">
        <is>
          <t>Baby Care</t>
        </is>
      </c>
      <c r="D13" s="15" t="inlineStr">
        <is>
          <t>Baby Wipes</t>
        </is>
      </c>
      <c r="E13" s="18" t="n">
        <v>150</v>
      </c>
      <c r="F13" s="18" t="n">
        <v>250</v>
      </c>
      <c r="G13" s="18">
        <f>F13-E13</f>
        <v/>
      </c>
      <c r="H13" s="29" t="n">
        <v>7</v>
      </c>
      <c r="I13" s="18">
        <f>E13*H13</f>
        <v/>
      </c>
      <c r="J13" s="18">
        <f>F13*H13</f>
        <v/>
      </c>
      <c r="K13" s="28">
        <f>IF(H13&lt;=0, "Out of Stock", IF(H13&lt;=5, "Low Stock", "In Stock"))</f>
        <v/>
      </c>
      <c r="L13" s="28" t="inlineStr">
        <is>
          <t>2025-07-13 03:47 PM</t>
        </is>
      </c>
    </row>
    <row r="14">
      <c r="A14" s="26" t="inlineStr">
        <is>
          <t>257896548349</t>
        </is>
      </c>
      <c r="B14" s="10" t="inlineStr">
        <is>
          <t>RAHAT BABY WIPES</t>
        </is>
      </c>
      <c r="C14" s="10" t="inlineStr">
        <is>
          <t>Baby Care</t>
        </is>
      </c>
      <c r="D14" s="10" t="inlineStr">
        <is>
          <t>Baby Wipes</t>
        </is>
      </c>
      <c r="E14" s="13" t="n">
        <v>100</v>
      </c>
      <c r="F14" s="13" t="n">
        <v>150</v>
      </c>
      <c r="G14" s="13">
        <f>F14-E14</f>
        <v/>
      </c>
      <c r="H14" s="27" t="n">
        <v>23</v>
      </c>
      <c r="I14" s="13">
        <f>E14*H14</f>
        <v/>
      </c>
      <c r="J14" s="13">
        <f>F14*H14</f>
        <v/>
      </c>
      <c r="K14" s="26">
        <f>IF(H14&lt;=0, "Out of Stock", IF(H14&lt;=5, "Low Stock", "In Stock"))</f>
        <v/>
      </c>
      <c r="L14" s="26" t="inlineStr">
        <is>
          <t>2025-07-13 03:37 PM</t>
        </is>
      </c>
    </row>
    <row r="15">
      <c r="A15" s="28" t="inlineStr">
        <is>
          <t>5126511533457</t>
        </is>
      </c>
      <c r="B15" s="15" t="inlineStr">
        <is>
          <t>ROCKET BABY WIPES</t>
        </is>
      </c>
      <c r="C15" s="15" t="inlineStr">
        <is>
          <t>Baby Care</t>
        </is>
      </c>
      <c r="D15" s="15" t="inlineStr">
        <is>
          <t>Baby Wipes</t>
        </is>
      </c>
      <c r="E15" s="18" t="n">
        <v>108</v>
      </c>
      <c r="F15" s="18" t="n">
        <v>160</v>
      </c>
      <c r="G15" s="18">
        <f>F15-E15</f>
        <v/>
      </c>
      <c r="H15" s="29" t="n">
        <v>25</v>
      </c>
      <c r="I15" s="18">
        <f>E15*H15</f>
        <v/>
      </c>
      <c r="J15" s="18">
        <f>F15*H15</f>
        <v/>
      </c>
      <c r="K15" s="28">
        <f>IF(H15&lt;=0, "Out of Stock", IF(H15&lt;=5, "Low Stock", "In Stock"))</f>
        <v/>
      </c>
      <c r="L15" s="28" t="inlineStr">
        <is>
          <t>2025-07-13 03:37 PM</t>
        </is>
      </c>
    </row>
    <row r="16">
      <c r="A16" s="26" t="inlineStr">
        <is>
          <t>4985925672784</t>
        </is>
      </c>
      <c r="B16" s="10" t="inlineStr">
        <is>
          <t>RAHAT DIAPERS 1-2</t>
        </is>
      </c>
      <c r="C16" s="10" t="inlineStr">
        <is>
          <t>Baby Care</t>
        </is>
      </c>
      <c r="D16" s="10" t="inlineStr">
        <is>
          <t>Pampers</t>
        </is>
      </c>
      <c r="E16" s="13" t="n">
        <v>19</v>
      </c>
      <c r="F16" s="13" t="n">
        <v>25</v>
      </c>
      <c r="G16" s="13">
        <f>F16-E16</f>
        <v/>
      </c>
      <c r="H16" s="27" t="n">
        <v>420</v>
      </c>
      <c r="I16" s="13">
        <f>E16*H16</f>
        <v/>
      </c>
      <c r="J16" s="13">
        <f>F16*H16</f>
        <v/>
      </c>
      <c r="K16" s="26">
        <f>IF(H16&lt;=0, "Out of Stock", IF(H16&lt;=5, "Low Stock", "In Stock"))</f>
        <v/>
      </c>
      <c r="L16" s="26" t="inlineStr">
        <is>
          <t>2025-07-13 11:37 AM</t>
        </is>
      </c>
    </row>
    <row r="17">
      <c r="A17" s="28" t="inlineStr">
        <is>
          <t>4985925672456</t>
        </is>
      </c>
      <c r="B17" s="15" t="inlineStr">
        <is>
          <t>RAHAT DIAPERS 3 NO</t>
        </is>
      </c>
      <c r="C17" s="15" t="inlineStr">
        <is>
          <t>Baby Care</t>
        </is>
      </c>
      <c r="D17" s="15" t="inlineStr">
        <is>
          <t>Pampers</t>
        </is>
      </c>
      <c r="E17" s="18" t="n">
        <v>22</v>
      </c>
      <c r="F17" s="18" t="n">
        <v>30</v>
      </c>
      <c r="G17" s="18">
        <f>F17-E17</f>
        <v/>
      </c>
      <c r="H17" s="29" t="n">
        <v>576</v>
      </c>
      <c r="I17" s="18">
        <f>E17*H17</f>
        <v/>
      </c>
      <c r="J17" s="18">
        <f>F17*H17</f>
        <v/>
      </c>
      <c r="K17" s="28">
        <f>IF(H17&lt;=0, "Out of Stock", IF(H17&lt;=5, "Low Stock", "In Stock"))</f>
        <v/>
      </c>
      <c r="L17" s="28" t="inlineStr">
        <is>
          <t>2025-07-13 11:00 AM</t>
        </is>
      </c>
    </row>
    <row r="18">
      <c r="A18" s="26" t="inlineStr">
        <is>
          <t>4985925672487</t>
        </is>
      </c>
      <c r="B18" s="10" t="inlineStr">
        <is>
          <t>RAHAT DIAPERS 4</t>
        </is>
      </c>
      <c r="C18" s="10" t="inlineStr">
        <is>
          <t>Baby Care</t>
        </is>
      </c>
      <c r="D18" s="10" t="inlineStr">
        <is>
          <t>Pampers</t>
        </is>
      </c>
      <c r="E18" s="13" t="n">
        <v>25</v>
      </c>
      <c r="F18" s="13" t="n">
        <v>30</v>
      </c>
      <c r="G18" s="13">
        <f>F18-E18</f>
        <v/>
      </c>
      <c r="H18" s="27" t="n">
        <v>123</v>
      </c>
      <c r="I18" s="13">
        <f>E18*H18</f>
        <v/>
      </c>
      <c r="J18" s="13">
        <f>F18*H18</f>
        <v/>
      </c>
      <c r="K18" s="26">
        <f>IF(H18&lt;=0, "Out of Stock", IF(H18&lt;=5, "Low Stock", "In Stock"))</f>
        <v/>
      </c>
      <c r="L18" s="26" t="inlineStr">
        <is>
          <t>2025-07-13 11:39 AM</t>
        </is>
      </c>
    </row>
    <row r="19">
      <c r="A19" s="28" t="inlineStr">
        <is>
          <t>4985925674450</t>
        </is>
      </c>
      <c r="B19" s="15" t="inlineStr">
        <is>
          <t>RAHAT DIAPERS 5</t>
        </is>
      </c>
      <c r="C19" s="15" t="inlineStr">
        <is>
          <t>Baby Care</t>
        </is>
      </c>
      <c r="D19" s="15" t="inlineStr">
        <is>
          <t>Pampers</t>
        </is>
      </c>
      <c r="E19" s="18" t="n">
        <v>28</v>
      </c>
      <c r="F19" s="18" t="n">
        <v>35</v>
      </c>
      <c r="G19" s="18">
        <f>F19-E19</f>
        <v/>
      </c>
      <c r="H19" s="29" t="n">
        <v>348</v>
      </c>
      <c r="I19" s="18">
        <f>E19*H19</f>
        <v/>
      </c>
      <c r="J19" s="18">
        <f>F19*H19</f>
        <v/>
      </c>
      <c r="K19" s="28">
        <f>IF(H19&lt;=0, "Out of Stock", IF(H19&lt;=5, "Low Stock", "In Stock"))</f>
        <v/>
      </c>
      <c r="L19" s="28" t="inlineStr">
        <is>
          <t>2025-07-13 11:40 AM</t>
        </is>
      </c>
    </row>
    <row r="20">
      <c r="A20" s="26" t="inlineStr">
        <is>
          <t>4618518138748</t>
        </is>
      </c>
      <c r="B20" s="10" t="inlineStr">
        <is>
          <t>ROCKET DIAPERS 11-25KG</t>
        </is>
      </c>
      <c r="C20" s="10" t="inlineStr">
        <is>
          <t>Baby Care</t>
        </is>
      </c>
      <c r="D20" s="10" t="inlineStr">
        <is>
          <t>Pampers</t>
        </is>
      </c>
      <c r="E20" s="13" t="n">
        <v>30.5</v>
      </c>
      <c r="F20" s="13" t="n">
        <v>34</v>
      </c>
      <c r="G20" s="13">
        <f>F20-E20</f>
        <v/>
      </c>
      <c r="H20" s="27" t="n">
        <v>377</v>
      </c>
      <c r="I20" s="13">
        <f>E20*H20</f>
        <v/>
      </c>
      <c r="J20" s="13">
        <f>F20*H20</f>
        <v/>
      </c>
      <c r="K20" s="26">
        <f>IF(H20&lt;=0, "Out of Stock", IF(H20&lt;=5, "Low Stock", "In Stock"))</f>
        <v/>
      </c>
      <c r="L20" s="26" t="inlineStr">
        <is>
          <t>2025-07-13 10:49 AM</t>
        </is>
      </c>
    </row>
    <row r="21">
      <c r="A21" s="28" t="inlineStr">
        <is>
          <t>4618518135211</t>
        </is>
      </c>
      <c r="B21" s="15" t="inlineStr">
        <is>
          <t>ROCKET DIAPERS 3-6 KG</t>
        </is>
      </c>
      <c r="C21" s="15" t="inlineStr">
        <is>
          <t>Baby Care</t>
        </is>
      </c>
      <c r="D21" s="15" t="inlineStr">
        <is>
          <t>Pampers</t>
        </is>
      </c>
      <c r="E21" s="18" t="n">
        <v>21.4</v>
      </c>
      <c r="F21" s="18" t="n">
        <v>30</v>
      </c>
      <c r="G21" s="18">
        <f>F21-E21</f>
        <v/>
      </c>
      <c r="H21" s="29" t="n">
        <v>400</v>
      </c>
      <c r="I21" s="18">
        <f>E21*H21</f>
        <v/>
      </c>
      <c r="J21" s="18">
        <f>F21*H21</f>
        <v/>
      </c>
      <c r="K21" s="28">
        <f>IF(H21&lt;=0, "Out of Stock", IF(H21&lt;=5, "Low Stock", "In Stock"))</f>
        <v/>
      </c>
      <c r="L21" s="28" t="inlineStr">
        <is>
          <t>2025-07-13 10:57 AM</t>
        </is>
      </c>
    </row>
    <row r="22">
      <c r="A22" s="26" t="inlineStr">
        <is>
          <t>4618518167984</t>
        </is>
      </c>
      <c r="B22" s="10" t="inlineStr">
        <is>
          <t>ROCKET DIAPERS 4-9KG</t>
        </is>
      </c>
      <c r="C22" s="10" t="inlineStr">
        <is>
          <t>Baby Care</t>
        </is>
      </c>
      <c r="D22" s="10" t="inlineStr">
        <is>
          <t>Pampers</t>
        </is>
      </c>
      <c r="E22" s="13" t="n">
        <v>24.43</v>
      </c>
      <c r="F22" s="13" t="n">
        <v>30</v>
      </c>
      <c r="G22" s="13">
        <f>F22-E22</f>
        <v/>
      </c>
      <c r="H22" s="27" t="n">
        <v>492</v>
      </c>
      <c r="I22" s="13">
        <f>E22*H22</f>
        <v/>
      </c>
      <c r="J22" s="13">
        <f>F22*H22</f>
        <v/>
      </c>
      <c r="K22" s="26">
        <f>IF(H22&lt;=0, "Out of Stock", IF(H22&lt;=5, "Low Stock", "In Stock"))</f>
        <v/>
      </c>
      <c r="L22" s="26" t="inlineStr">
        <is>
          <t>2025-07-13 10:51 AM</t>
        </is>
      </c>
    </row>
    <row r="23">
      <c r="A23" s="28" t="inlineStr">
        <is>
          <t>4618518138755</t>
        </is>
      </c>
      <c r="B23" s="15" t="inlineStr">
        <is>
          <t>ROCKET DIAPERS 9-18KG</t>
        </is>
      </c>
      <c r="C23" s="15" t="inlineStr">
        <is>
          <t>Baby Care</t>
        </is>
      </c>
      <c r="D23" s="15" t="inlineStr">
        <is>
          <t>Pampers</t>
        </is>
      </c>
      <c r="E23" s="18" t="n">
        <v>27.11</v>
      </c>
      <c r="F23" s="18" t="n">
        <v>35</v>
      </c>
      <c r="G23" s="18">
        <f>F23-E23</f>
        <v/>
      </c>
      <c r="H23" s="29" t="n">
        <v>162</v>
      </c>
      <c r="I23" s="18">
        <f>E23*H23</f>
        <v/>
      </c>
      <c r="J23" s="18">
        <f>F23*H23</f>
        <v/>
      </c>
      <c r="K23" s="28">
        <f>IF(H23&lt;=0, "Out of Stock", IF(H23&lt;=5, "Low Stock", "In Stock"))</f>
        <v/>
      </c>
      <c r="L23" s="28" t="inlineStr">
        <is>
          <t>2025-07-13 10:53 AM</t>
        </is>
      </c>
    </row>
    <row r="24">
      <c r="A24" s="26" t="inlineStr">
        <is>
          <t>8961101819002</t>
        </is>
      </c>
      <c r="B24" s="10" t="inlineStr">
        <is>
          <t>BREAD SUGER FREE</t>
        </is>
      </c>
      <c r="C24" s="10" t="inlineStr">
        <is>
          <t>Bakery &amp; Bread</t>
        </is>
      </c>
      <c r="D24" s="10" t="inlineStr">
        <is>
          <t>Bread</t>
        </is>
      </c>
      <c r="E24" s="13" t="n">
        <v>136</v>
      </c>
      <c r="F24" s="13" t="n">
        <v>150</v>
      </c>
      <c r="G24" s="13">
        <f>F24-E24</f>
        <v/>
      </c>
      <c r="H24" s="27" t="n">
        <v>1</v>
      </c>
      <c r="I24" s="13">
        <f>E24*H24</f>
        <v/>
      </c>
      <c r="J24" s="13">
        <f>F24*H24</f>
        <v/>
      </c>
      <c r="K24" s="26">
        <f>IF(H24&lt;=0, "Out of Stock", IF(H24&lt;=5, "Low Stock", "In Stock"))</f>
        <v/>
      </c>
      <c r="L24" s="26" t="inlineStr">
        <is>
          <t>2025-07-18 06:42 AM</t>
        </is>
      </c>
    </row>
    <row r="25">
      <c r="A25" s="28" t="inlineStr">
        <is>
          <t>8961101819033</t>
        </is>
      </c>
      <c r="B25" s="15" t="inlineStr">
        <is>
          <t>DOUGHSTORY MILK BREAD REGULAR</t>
        </is>
      </c>
      <c r="C25" s="15" t="inlineStr">
        <is>
          <t>Bakery &amp; Bread</t>
        </is>
      </c>
      <c r="D25" s="15" t="inlineStr">
        <is>
          <t>Bread</t>
        </is>
      </c>
      <c r="E25" s="18" t="n">
        <v>99</v>
      </c>
      <c r="F25" s="18" t="n">
        <v>110</v>
      </c>
      <c r="G25" s="18">
        <f>F25-E25</f>
        <v/>
      </c>
      <c r="H25" s="29" t="n">
        <v>8</v>
      </c>
      <c r="I25" s="18">
        <f>E25*H25</f>
        <v/>
      </c>
      <c r="J25" s="18">
        <f>F25*H25</f>
        <v/>
      </c>
      <c r="K25" s="28">
        <f>IF(H25&lt;=0, "Out of Stock", IF(H25&lt;=5, "Low Stock", "In Stock"))</f>
        <v/>
      </c>
      <c r="L25" s="28" t="inlineStr">
        <is>
          <t>2025-07-18 06:46 AM</t>
        </is>
      </c>
    </row>
    <row r="26">
      <c r="A26" s="26" t="inlineStr">
        <is>
          <t>8961101819064</t>
        </is>
      </c>
      <c r="B26" s="10" t="inlineStr">
        <is>
          <t>DOUGHSTORY PLAIN BREAD</t>
        </is>
      </c>
      <c r="C26" s="10" t="inlineStr">
        <is>
          <t>Bakery &amp; Bread</t>
        </is>
      </c>
      <c r="D26" s="10" t="inlineStr">
        <is>
          <t>Bread</t>
        </is>
      </c>
      <c r="E26" s="13" t="n">
        <v>99</v>
      </c>
      <c r="F26" s="13" t="n">
        <v>110</v>
      </c>
      <c r="G26" s="13">
        <f>F26-E26</f>
        <v/>
      </c>
      <c r="H26" s="27" t="n">
        <v>0</v>
      </c>
      <c r="I26" s="13">
        <f>E26*H26</f>
        <v/>
      </c>
      <c r="J26" s="13">
        <f>F26*H26</f>
        <v/>
      </c>
      <c r="K26" s="26">
        <f>IF(H26&lt;=0, "Out of Stock", IF(H26&lt;=5, "Low Stock", "In Stock"))</f>
        <v/>
      </c>
      <c r="L26" s="26" t="inlineStr">
        <is>
          <t>2025-07-18 06:43 AM</t>
        </is>
      </c>
    </row>
    <row r="27">
      <c r="A27" s="28" t="inlineStr">
        <is>
          <t>8961101819644</t>
        </is>
      </c>
      <c r="B27" s="15" t="inlineStr">
        <is>
          <t>BUN SHEERMAL 100G</t>
        </is>
      </c>
      <c r="C27" s="15" t="inlineStr">
        <is>
          <t>Bakery &amp; Bread</t>
        </is>
      </c>
      <c r="D27" s="15" t="inlineStr">
        <is>
          <t>Bun</t>
        </is>
      </c>
      <c r="E27" s="18" t="n">
        <v>45</v>
      </c>
      <c r="F27" s="18" t="n">
        <v>50</v>
      </c>
      <c r="G27" s="18">
        <f>F27-E27</f>
        <v/>
      </c>
      <c r="H27" s="29" t="n">
        <v>0</v>
      </c>
      <c r="I27" s="18">
        <f>E27*H27</f>
        <v/>
      </c>
      <c r="J27" s="18">
        <f>F27*H27</f>
        <v/>
      </c>
      <c r="K27" s="28">
        <f>IF(H27&lt;=0, "Out of Stock", IF(H27&lt;=5, "Low Stock", "In Stock"))</f>
        <v/>
      </c>
      <c r="L27" s="28" t="inlineStr">
        <is>
          <t>2025-07-21 09:48 AM</t>
        </is>
      </c>
    </row>
    <row r="28">
      <c r="A28" s="26" t="inlineStr">
        <is>
          <t>8961101819576</t>
        </is>
      </c>
      <c r="B28" s="10" t="inlineStr">
        <is>
          <t>BUN SHEERMAL 140 GM</t>
        </is>
      </c>
      <c r="C28" s="10" t="inlineStr">
        <is>
          <t>Bakery &amp; Bread</t>
        </is>
      </c>
      <c r="D28" s="10" t="inlineStr">
        <is>
          <t>Bun</t>
        </is>
      </c>
      <c r="E28" s="13" t="n">
        <v>59</v>
      </c>
      <c r="F28" s="13" t="n">
        <v>70</v>
      </c>
      <c r="G28" s="13">
        <f>F28-E28</f>
        <v/>
      </c>
      <c r="H28" s="27" t="n">
        <v>1</v>
      </c>
      <c r="I28" s="13">
        <f>E28*H28</f>
        <v/>
      </c>
      <c r="J28" s="13">
        <f>F28*H28</f>
        <v/>
      </c>
      <c r="K28" s="26">
        <f>IF(H28&lt;=0, "Out of Stock", IF(H28&lt;=5, "Low Stock", "In Stock"))</f>
        <v/>
      </c>
      <c r="L28" s="26" t="inlineStr">
        <is>
          <t>2025-07-21 09:45 AM</t>
        </is>
      </c>
    </row>
    <row r="29">
      <c r="A29" s="28" t="inlineStr">
        <is>
          <t>8961014018233</t>
        </is>
      </c>
      <c r="B29" s="15" t="inlineStr">
        <is>
          <t>RAFHAN CORNFLOUR</t>
        </is>
      </c>
      <c r="C29" s="15" t="inlineStr">
        <is>
          <t>Baking Powdered</t>
        </is>
      </c>
      <c r="D29" s="15" t="inlineStr">
        <is>
          <t>Baking Powdered</t>
        </is>
      </c>
      <c r="E29" s="18" t="n">
        <v>140</v>
      </c>
      <c r="F29" s="18" t="n">
        <v>160</v>
      </c>
      <c r="G29" s="18">
        <f>F29-E29</f>
        <v/>
      </c>
      <c r="H29" s="29" t="n">
        <v>13</v>
      </c>
      <c r="I29" s="18">
        <f>E29*H29</f>
        <v/>
      </c>
      <c r="J29" s="18">
        <f>F29*H29</f>
        <v/>
      </c>
      <c r="K29" s="28">
        <f>IF(H29&lt;=0, "Out of Stock", IF(H29&lt;=5, "Low Stock", "In Stock"))</f>
        <v/>
      </c>
      <c r="L29" s="28" t="inlineStr">
        <is>
          <t>2025-07-13 12:06 PM</t>
        </is>
      </c>
    </row>
    <row r="30">
      <c r="A30" s="26" t="inlineStr">
        <is>
          <t>12000800337</t>
        </is>
      </c>
      <c r="B30" s="10" t="inlineStr">
        <is>
          <t>7UP 1.5 LTR</t>
        </is>
      </c>
      <c r="C30" s="10" t="inlineStr">
        <is>
          <t>Beverages &amp; Juices</t>
        </is>
      </c>
      <c r="D30" s="10" t="inlineStr">
        <is>
          <t>Drink</t>
        </is>
      </c>
      <c r="E30" s="13" t="n">
        <v>150</v>
      </c>
      <c r="F30" s="13" t="n">
        <v>200</v>
      </c>
      <c r="G30" s="13">
        <f>F30-E30</f>
        <v/>
      </c>
      <c r="H30" s="27" t="n">
        <v>43</v>
      </c>
      <c r="I30" s="13">
        <f>E30*H30</f>
        <v/>
      </c>
      <c r="J30" s="13">
        <f>F30*H30</f>
        <v/>
      </c>
      <c r="K30" s="26">
        <f>IF(H30&lt;=0, "Out of Stock", IF(H30&lt;=5, "Low Stock", "In Stock"))</f>
        <v/>
      </c>
      <c r="L30" s="26" t="inlineStr">
        <is>
          <t>2025-07-17 10:33 AM</t>
        </is>
      </c>
    </row>
    <row r="31">
      <c r="A31" s="28" t="inlineStr">
        <is>
          <t>8964000101582</t>
        </is>
      </c>
      <c r="B31" s="15" t="inlineStr">
        <is>
          <t>7UP CAN LIME TASTE</t>
        </is>
      </c>
      <c r="C31" s="15" t="inlineStr">
        <is>
          <t>Beverages &amp; Juices</t>
        </is>
      </c>
      <c r="D31" s="15" t="inlineStr">
        <is>
          <t>Drink</t>
        </is>
      </c>
      <c r="E31" s="18" t="n">
        <v>97</v>
      </c>
      <c r="F31" s="18" t="n">
        <v>120</v>
      </c>
      <c r="G31" s="18">
        <f>F31-E31</f>
        <v/>
      </c>
      <c r="H31" s="29" t="n">
        <v>0</v>
      </c>
      <c r="I31" s="18">
        <f>E31*H31</f>
        <v/>
      </c>
      <c r="J31" s="18">
        <f>F31*H31</f>
        <v/>
      </c>
      <c r="K31" s="28">
        <f>IF(H31&lt;=0, "Out of Stock", IF(H31&lt;=5, "Low Stock", "In Stock"))</f>
        <v/>
      </c>
      <c r="L31" s="28" t="inlineStr">
        <is>
          <t>2025-07-17 03:04 PM</t>
        </is>
      </c>
    </row>
    <row r="32">
      <c r="A32" s="26" t="inlineStr">
        <is>
          <t>8964002344406</t>
        </is>
      </c>
      <c r="B32" s="10" t="inlineStr">
        <is>
          <t>7UP CAN MINT LEMONADE</t>
        </is>
      </c>
      <c r="C32" s="10" t="inlineStr">
        <is>
          <t>Beverages &amp; Juices</t>
        </is>
      </c>
      <c r="D32" s="10" t="inlineStr">
        <is>
          <t>Drink</t>
        </is>
      </c>
      <c r="E32" s="13" t="n">
        <v>97</v>
      </c>
      <c r="F32" s="13" t="n">
        <v>120</v>
      </c>
      <c r="G32" s="13">
        <f>F32-E32</f>
        <v/>
      </c>
      <c r="H32" s="27" t="n">
        <v>0</v>
      </c>
      <c r="I32" s="13">
        <f>E32*H32</f>
        <v/>
      </c>
      <c r="J32" s="13">
        <f>F32*H32</f>
        <v/>
      </c>
      <c r="K32" s="26">
        <f>IF(H32&lt;=0, "Out of Stock", IF(H32&lt;=5, "Low Stock", "In Stock"))</f>
        <v/>
      </c>
      <c r="L32" s="26" t="inlineStr">
        <is>
          <t>2025-07-17 03:04 PM</t>
        </is>
      </c>
    </row>
    <row r="33">
      <c r="A33" s="28" t="inlineStr">
        <is>
          <t>6291101133849</t>
        </is>
      </c>
      <c r="B33" s="15" t="inlineStr">
        <is>
          <t>ALOKOZAY ENERGY DRINK</t>
        </is>
      </c>
      <c r="C33" s="15" t="inlineStr">
        <is>
          <t>Beverages &amp; Juices</t>
        </is>
      </c>
      <c r="D33" s="15" t="inlineStr">
        <is>
          <t>Drink</t>
        </is>
      </c>
      <c r="E33" s="18" t="n">
        <v>204.8</v>
      </c>
      <c r="F33" s="18" t="n">
        <v>250</v>
      </c>
      <c r="G33" s="18">
        <f>F33-E33</f>
        <v/>
      </c>
      <c r="H33" s="29" t="n">
        <v>490</v>
      </c>
      <c r="I33" s="18">
        <f>E33*H33</f>
        <v/>
      </c>
      <c r="J33" s="18">
        <f>F33*H33</f>
        <v/>
      </c>
      <c r="K33" s="28">
        <f>IF(H33&lt;=0, "Out of Stock", IF(H33&lt;=5, "Low Stock", "In Stock"))</f>
        <v/>
      </c>
      <c r="L33" s="28" t="inlineStr">
        <is>
          <t>2025-07-13 12:40 PM</t>
        </is>
      </c>
    </row>
    <row r="34">
      <c r="A34" s="26" t="inlineStr">
        <is>
          <t>8964001179504</t>
        </is>
      </c>
      <c r="B34" s="10" t="inlineStr">
        <is>
          <t>ANAAR NEXT 1.5 LTR</t>
        </is>
      </c>
      <c r="C34" s="10" t="inlineStr">
        <is>
          <t>Beverages &amp; Juices</t>
        </is>
      </c>
      <c r="D34" s="10" t="inlineStr">
        <is>
          <t>Drink</t>
        </is>
      </c>
      <c r="E34" s="13" t="n">
        <v>142</v>
      </c>
      <c r="F34" s="13" t="n">
        <v>170</v>
      </c>
      <c r="G34" s="13">
        <f>F34-E34</f>
        <v/>
      </c>
      <c r="H34" s="27" t="n">
        <v>5</v>
      </c>
      <c r="I34" s="13">
        <f>E34*H34</f>
        <v/>
      </c>
      <c r="J34" s="13">
        <f>F34*H34</f>
        <v/>
      </c>
      <c r="K34" s="26">
        <f>IF(H34&lt;=0, "Out of Stock", IF(H34&lt;=5, "Low Stock", "In Stock"))</f>
        <v/>
      </c>
      <c r="L34" s="26" t="inlineStr">
        <is>
          <t>2025-07-17 10:47 AM</t>
        </is>
      </c>
    </row>
    <row r="35">
      <c r="A35" s="28" t="inlineStr">
        <is>
          <t>2854963147511</t>
        </is>
      </c>
      <c r="B35" s="15" t="inlineStr">
        <is>
          <t>BASIL SEED GREEN APPLE</t>
        </is>
      </c>
      <c r="C35" s="15" t="inlineStr">
        <is>
          <t>Beverages &amp; Juices</t>
        </is>
      </c>
      <c r="D35" s="15" t="inlineStr">
        <is>
          <t>Drink</t>
        </is>
      </c>
      <c r="E35" s="18" t="n">
        <v>110</v>
      </c>
      <c r="F35" s="18" t="n">
        <v>140</v>
      </c>
      <c r="G35" s="18">
        <f>F35-E35</f>
        <v/>
      </c>
      <c r="H35" s="29" t="n">
        <v>4</v>
      </c>
      <c r="I35" s="18">
        <f>E35*H35</f>
        <v/>
      </c>
      <c r="J35" s="18">
        <f>F35*H35</f>
        <v/>
      </c>
      <c r="K35" s="28">
        <f>IF(H35&lt;=0, "Out of Stock", IF(H35&lt;=5, "Low Stock", "In Stock"))</f>
        <v/>
      </c>
      <c r="L35" s="28" t="inlineStr">
        <is>
          <t>2025-07-18 07:09 PM</t>
        </is>
      </c>
    </row>
    <row r="36">
      <c r="A36" s="26" t="inlineStr">
        <is>
          <t>4523700002021</t>
        </is>
      </c>
      <c r="B36" s="10" t="inlineStr">
        <is>
          <t>BASIL SEED MANGO</t>
        </is>
      </c>
      <c r="C36" s="10" t="inlineStr">
        <is>
          <t>Beverages &amp; Juices</t>
        </is>
      </c>
      <c r="D36" s="10" t="inlineStr">
        <is>
          <t>Drink</t>
        </is>
      </c>
      <c r="E36" s="13" t="n">
        <v>110</v>
      </c>
      <c r="F36" s="13" t="n">
        <v>140</v>
      </c>
      <c r="G36" s="13">
        <f>F36-E36</f>
        <v/>
      </c>
      <c r="H36" s="27" t="n">
        <v>0</v>
      </c>
      <c r="I36" s="13">
        <f>E36*H36</f>
        <v/>
      </c>
      <c r="J36" s="13">
        <f>F36*H36</f>
        <v/>
      </c>
      <c r="K36" s="26">
        <f>IF(H36&lt;=0, "Out of Stock", IF(H36&lt;=5, "Low Stock", "In Stock"))</f>
        <v/>
      </c>
      <c r="L36" s="26" t="inlineStr">
        <is>
          <t>2025-07-18 07:06 PM</t>
        </is>
      </c>
    </row>
    <row r="37">
      <c r="A37" s="28" t="inlineStr">
        <is>
          <t>4523700002052</t>
        </is>
      </c>
      <c r="B37" s="15" t="inlineStr">
        <is>
          <t>BASIL SEED POMEGRANATE</t>
        </is>
      </c>
      <c r="C37" s="15" t="inlineStr">
        <is>
          <t>Beverages &amp; Juices</t>
        </is>
      </c>
      <c r="D37" s="15" t="inlineStr">
        <is>
          <t>Drink</t>
        </is>
      </c>
      <c r="E37" s="18" t="n">
        <v>110</v>
      </c>
      <c r="F37" s="18" t="n">
        <v>140</v>
      </c>
      <c r="G37" s="18">
        <f>F37-E37</f>
        <v/>
      </c>
      <c r="H37" s="29" t="n">
        <v>0</v>
      </c>
      <c r="I37" s="18">
        <f>E37*H37</f>
        <v/>
      </c>
      <c r="J37" s="18">
        <f>F37*H37</f>
        <v/>
      </c>
      <c r="K37" s="28">
        <f>IF(H37&lt;=0, "Out of Stock", IF(H37&lt;=5, "Low Stock", "In Stock"))</f>
        <v/>
      </c>
      <c r="L37" s="28" t="inlineStr">
        <is>
          <t>2025-07-18 07:07 PM</t>
        </is>
      </c>
    </row>
    <row r="38">
      <c r="A38" s="26" t="inlineStr">
        <is>
          <t>1860074054502</t>
        </is>
      </c>
      <c r="B38" s="10" t="inlineStr">
        <is>
          <t>BIGG APPLE 1 LTR</t>
        </is>
      </c>
      <c r="C38" s="10" t="inlineStr">
        <is>
          <t>Beverages &amp; Juices</t>
        </is>
      </c>
      <c r="D38" s="10" t="inlineStr">
        <is>
          <t>Drink</t>
        </is>
      </c>
      <c r="E38" s="13" t="n">
        <v>150</v>
      </c>
      <c r="F38" s="13" t="n">
        <v>200</v>
      </c>
      <c r="G38" s="13">
        <f>F38-E38</f>
        <v/>
      </c>
      <c r="H38" s="27" t="n">
        <v>22</v>
      </c>
      <c r="I38" s="13">
        <f>E38*H38</f>
        <v/>
      </c>
      <c r="J38" s="13">
        <f>F38*H38</f>
        <v/>
      </c>
      <c r="K38" s="26">
        <f>IF(H38&lt;=0, "Out of Stock", IF(H38&lt;=5, "Low Stock", "In Stock"))</f>
        <v/>
      </c>
      <c r="L38" s="26" t="inlineStr">
        <is>
          <t>2025-07-29 05:22 PM</t>
        </is>
      </c>
    </row>
    <row r="39">
      <c r="A39" s="28" t="inlineStr">
        <is>
          <t>1860071012147</t>
        </is>
      </c>
      <c r="B39" s="15" t="inlineStr">
        <is>
          <t>BIGG APPLE 300ML</t>
        </is>
      </c>
      <c r="C39" s="15" t="inlineStr">
        <is>
          <t>Beverages &amp; Juices</t>
        </is>
      </c>
      <c r="D39" s="15" t="inlineStr">
        <is>
          <t>Drink</t>
        </is>
      </c>
      <c r="E39" s="18" t="n">
        <v>51</v>
      </c>
      <c r="F39" s="18" t="n">
        <v>60</v>
      </c>
      <c r="G39" s="18">
        <f>F39-E39</f>
        <v/>
      </c>
      <c r="H39" s="29" t="n">
        <v>2</v>
      </c>
      <c r="I39" s="18">
        <f>E39*H39</f>
        <v/>
      </c>
      <c r="J39" s="18">
        <f>F39*H39</f>
        <v/>
      </c>
      <c r="K39" s="28">
        <f>IF(H39&lt;=0, "Out of Stock", IF(H39&lt;=5, "Low Stock", "In Stock"))</f>
        <v/>
      </c>
      <c r="L39" s="28" t="inlineStr">
        <is>
          <t>2025-07-15 06:37 PM</t>
        </is>
      </c>
    </row>
    <row r="40">
      <c r="A40" s="26" t="inlineStr">
        <is>
          <t>1860074051716</t>
        </is>
      </c>
      <c r="B40" s="10" t="inlineStr">
        <is>
          <t>BIGG APPLE 500 ML</t>
        </is>
      </c>
      <c r="C40" s="10" t="inlineStr">
        <is>
          <t>Beverages &amp; Juices</t>
        </is>
      </c>
      <c r="D40" s="10" t="inlineStr">
        <is>
          <t>Drink</t>
        </is>
      </c>
      <c r="E40" s="13" t="n">
        <v>75</v>
      </c>
      <c r="F40" s="13" t="n">
        <v>100</v>
      </c>
      <c r="G40" s="13">
        <f>F40-E40</f>
        <v/>
      </c>
      <c r="H40" s="27" t="n">
        <v>57</v>
      </c>
      <c r="I40" s="13">
        <f>E40*H40</f>
        <v/>
      </c>
      <c r="J40" s="13">
        <f>F40*H40</f>
        <v/>
      </c>
      <c r="K40" s="26">
        <f>IF(H40&lt;=0, "Out of Stock", IF(H40&lt;=5, "Low Stock", "In Stock"))</f>
        <v/>
      </c>
      <c r="L40" s="26" t="inlineStr">
        <is>
          <t>2025-07-29 05:21 PM</t>
        </is>
      </c>
    </row>
    <row r="41">
      <c r="A41" s="28" t="inlineStr">
        <is>
          <t>8964000031858</t>
        </is>
      </c>
      <c r="B41" s="15" t="inlineStr">
        <is>
          <t>BOOSTER DRINK</t>
        </is>
      </c>
      <c r="C41" s="15" t="inlineStr">
        <is>
          <t>Beverages &amp; Juices</t>
        </is>
      </c>
      <c r="D41" s="15" t="inlineStr">
        <is>
          <t>Drink</t>
        </is>
      </c>
      <c r="E41" s="18" t="n">
        <v>61.55</v>
      </c>
      <c r="F41" s="18" t="n">
        <v>80</v>
      </c>
      <c r="G41" s="18">
        <f>F41-E41</f>
        <v/>
      </c>
      <c r="H41" s="29" t="n">
        <v>111</v>
      </c>
      <c r="I41" s="18">
        <f>E41*H41</f>
        <v/>
      </c>
      <c r="J41" s="18">
        <f>F41*H41</f>
        <v/>
      </c>
      <c r="K41" s="28">
        <f>IF(H41&lt;=0, "Out of Stock", IF(H41&lt;=5, "Low Stock", "In Stock"))</f>
        <v/>
      </c>
      <c r="L41" s="28" t="inlineStr">
        <is>
          <t>2025-07-14 02:37 PM</t>
        </is>
      </c>
    </row>
    <row r="42">
      <c r="A42" s="26" t="inlineStr">
        <is>
          <t>5449000054227</t>
        </is>
      </c>
      <c r="B42" s="10" t="inlineStr">
        <is>
          <t>COCA-COLA 1 LTR</t>
        </is>
      </c>
      <c r="C42" s="10" t="inlineStr">
        <is>
          <t>Beverages &amp; Juices</t>
        </is>
      </c>
      <c r="D42" s="10" t="inlineStr">
        <is>
          <t>Drink</t>
        </is>
      </c>
      <c r="E42" s="13" t="n">
        <v>130</v>
      </c>
      <c r="F42" s="13" t="n">
        <v>150</v>
      </c>
      <c r="G42" s="13">
        <f>F42-E42</f>
        <v/>
      </c>
      <c r="H42" s="27" t="n">
        <v>19</v>
      </c>
      <c r="I42" s="13">
        <f>E42*H42</f>
        <v/>
      </c>
      <c r="J42" s="13">
        <f>F42*H42</f>
        <v/>
      </c>
      <c r="K42" s="26">
        <f>IF(H42&lt;=0, "Out of Stock", IF(H42&lt;=5, "Low Stock", "In Stock"))</f>
        <v/>
      </c>
      <c r="L42" s="26" t="inlineStr">
        <is>
          <t>2025-07-17 06:19 PM</t>
        </is>
      </c>
    </row>
    <row r="43">
      <c r="A43" s="28" t="inlineStr">
        <is>
          <t>5449000051981</t>
        </is>
      </c>
      <c r="B43" s="15" t="inlineStr">
        <is>
          <t>COCA-COLA 1.5 LTR</t>
        </is>
      </c>
      <c r="C43" s="15" t="inlineStr">
        <is>
          <t>Beverages &amp; Juices</t>
        </is>
      </c>
      <c r="D43" s="15" t="inlineStr">
        <is>
          <t>Drink</t>
        </is>
      </c>
      <c r="E43" s="18" t="n">
        <v>143</v>
      </c>
      <c r="F43" s="18" t="n">
        <v>200</v>
      </c>
      <c r="G43" s="18">
        <f>F43-E43</f>
        <v/>
      </c>
      <c r="H43" s="29" t="n">
        <v>63</v>
      </c>
      <c r="I43" s="18">
        <f>E43*H43</f>
        <v/>
      </c>
      <c r="J43" s="18">
        <f>F43*H43</f>
        <v/>
      </c>
      <c r="K43" s="28">
        <f>IF(H43&lt;=0, "Out of Stock", IF(H43&lt;=5, "Low Stock", "In Stock"))</f>
        <v/>
      </c>
      <c r="L43" s="28" t="inlineStr">
        <is>
          <t>2025-07-17 06:16 PM</t>
        </is>
      </c>
    </row>
    <row r="44">
      <c r="A44" s="26" t="inlineStr">
        <is>
          <t>5449000000286</t>
        </is>
      </c>
      <c r="B44" s="10" t="inlineStr">
        <is>
          <t>COCA-COLA 2LTR ORIGINAL</t>
        </is>
      </c>
      <c r="C44" s="10" t="inlineStr">
        <is>
          <t>Beverages &amp; Juices</t>
        </is>
      </c>
      <c r="D44" s="10" t="inlineStr">
        <is>
          <t>Drink</t>
        </is>
      </c>
      <c r="E44" s="13" t="n">
        <v>164</v>
      </c>
      <c r="F44" s="13" t="n">
        <v>250</v>
      </c>
      <c r="G44" s="13">
        <f>F44-E44</f>
        <v/>
      </c>
      <c r="H44" s="27" t="n">
        <v>94</v>
      </c>
      <c r="I44" s="13">
        <f>E44*H44</f>
        <v/>
      </c>
      <c r="J44" s="13">
        <f>F44*H44</f>
        <v/>
      </c>
      <c r="K44" s="26">
        <f>IF(H44&lt;=0, "Out of Stock", IF(H44&lt;=5, "Low Stock", "In Stock"))</f>
        <v/>
      </c>
      <c r="L44" s="26" t="inlineStr">
        <is>
          <t>2025-07-17 04:52 PM</t>
        </is>
      </c>
    </row>
    <row r="45">
      <c r="A45" s="28" t="inlineStr">
        <is>
          <t>42117131</t>
        </is>
      </c>
      <c r="B45" s="15" t="inlineStr">
        <is>
          <t>COCA-COLA 350 ML</t>
        </is>
      </c>
      <c r="C45" s="15" t="inlineStr">
        <is>
          <t>Beverages &amp; Juices</t>
        </is>
      </c>
      <c r="D45" s="15" t="inlineStr">
        <is>
          <t>Drink</t>
        </is>
      </c>
      <c r="E45" s="18" t="n">
        <v>61</v>
      </c>
      <c r="F45" s="18" t="n">
        <v>90</v>
      </c>
      <c r="G45" s="18">
        <f>F45-E45</f>
        <v/>
      </c>
      <c r="H45" s="29" t="n">
        <v>45</v>
      </c>
      <c r="I45" s="18">
        <f>E45*H45</f>
        <v/>
      </c>
      <c r="J45" s="18">
        <f>F45*H45</f>
        <v/>
      </c>
      <c r="K45" s="28">
        <f>IF(H45&lt;=0, "Out of Stock", IF(H45&lt;=5, "Low Stock", "In Stock"))</f>
        <v/>
      </c>
      <c r="L45" s="28" t="inlineStr">
        <is>
          <t>2025-07-26 11:13 AM</t>
        </is>
      </c>
    </row>
    <row r="46">
      <c r="A46" s="26" t="inlineStr">
        <is>
          <t>54491472</t>
        </is>
      </c>
      <c r="B46" s="10" t="inlineStr">
        <is>
          <t>COCA-COLA 500ML</t>
        </is>
      </c>
      <c r="C46" s="10" t="inlineStr">
        <is>
          <t>Beverages &amp; Juices</t>
        </is>
      </c>
      <c r="D46" s="10" t="inlineStr">
        <is>
          <t>Drink</t>
        </is>
      </c>
      <c r="E46" s="13" t="n">
        <v>89.29000000000001</v>
      </c>
      <c r="F46" s="13" t="n">
        <v>120</v>
      </c>
      <c r="G46" s="13">
        <f>F46-E46</f>
        <v/>
      </c>
      <c r="H46" s="27" t="n">
        <v>59</v>
      </c>
      <c r="I46" s="13">
        <f>E46*H46</f>
        <v/>
      </c>
      <c r="J46" s="13">
        <f>F46*H46</f>
        <v/>
      </c>
      <c r="K46" s="26">
        <f>IF(H46&lt;=0, "Out of Stock", IF(H46&lt;=5, "Low Stock", "In Stock"))</f>
        <v/>
      </c>
      <c r="L46" s="26" t="inlineStr">
        <is>
          <t>2025-07-18 02:20 PM</t>
        </is>
      </c>
    </row>
    <row r="47">
      <c r="A47" s="28" t="inlineStr">
        <is>
          <t>5449000008046</t>
        </is>
      </c>
      <c r="B47" s="15" t="inlineStr">
        <is>
          <t>COCA-COLA CAN ORIGINAL</t>
        </is>
      </c>
      <c r="C47" s="15" t="inlineStr">
        <is>
          <t>Beverages &amp; Juices</t>
        </is>
      </c>
      <c r="D47" s="15" t="inlineStr">
        <is>
          <t>Drink</t>
        </is>
      </c>
      <c r="E47" s="18" t="n">
        <v>98</v>
      </c>
      <c r="F47" s="18" t="n">
        <v>120</v>
      </c>
      <c r="G47" s="18">
        <f>F47-E47</f>
        <v/>
      </c>
      <c r="H47" s="29" t="n">
        <v>27</v>
      </c>
      <c r="I47" s="18">
        <f>E47*H47</f>
        <v/>
      </c>
      <c r="J47" s="18">
        <f>F47*H47</f>
        <v/>
      </c>
      <c r="K47" s="28">
        <f>IF(H47&lt;=0, "Out of Stock", IF(H47&lt;=5, "Low Stock", "In Stock"))</f>
        <v/>
      </c>
      <c r="L47" s="28" t="inlineStr">
        <is>
          <t>2025-07-17 03:07 PM</t>
        </is>
      </c>
    </row>
    <row r="48">
      <c r="A48" s="26" t="inlineStr">
        <is>
          <t>8964001179368</t>
        </is>
      </c>
      <c r="B48" s="10" t="inlineStr">
        <is>
          <t>DARE NEXT 1.5 LTR</t>
        </is>
      </c>
      <c r="C48" s="10" t="inlineStr">
        <is>
          <t>Beverages &amp; Juices</t>
        </is>
      </c>
      <c r="D48" s="10" t="inlineStr">
        <is>
          <t>Drink</t>
        </is>
      </c>
      <c r="E48" s="13" t="n">
        <v>142</v>
      </c>
      <c r="F48" s="13" t="n">
        <v>170</v>
      </c>
      <c r="G48" s="13">
        <f>F48-E48</f>
        <v/>
      </c>
      <c r="H48" s="27" t="n">
        <v>0</v>
      </c>
      <c r="I48" s="13">
        <f>E48*H48</f>
        <v/>
      </c>
      <c r="J48" s="13">
        <f>F48*H48</f>
        <v/>
      </c>
      <c r="K48" s="26">
        <f>IF(H48&lt;=0, "Out of Stock", IF(H48&lt;=5, "Low Stock", "In Stock"))</f>
        <v/>
      </c>
      <c r="L48" s="26" t="inlineStr">
        <is>
          <t>2025-07-17 10:41 AM</t>
        </is>
      </c>
    </row>
    <row r="49">
      <c r="A49" s="28" t="inlineStr">
        <is>
          <t>8964000816622</t>
        </is>
      </c>
      <c r="B49" s="15" t="inlineStr">
        <is>
          <t>DAYFRESH BANANA</t>
        </is>
      </c>
      <c r="C49" s="15" t="inlineStr">
        <is>
          <t>Beverages &amp; Juices</t>
        </is>
      </c>
      <c r="D49" s="15" t="inlineStr">
        <is>
          <t>Drink</t>
        </is>
      </c>
      <c r="E49" s="18" t="n">
        <v>85</v>
      </c>
      <c r="F49" s="18" t="n">
        <v>100</v>
      </c>
      <c r="G49" s="18">
        <f>F49-E49</f>
        <v/>
      </c>
      <c r="H49" s="29" t="n">
        <v>0</v>
      </c>
      <c r="I49" s="18">
        <f>E49*H49</f>
        <v/>
      </c>
      <c r="J49" s="18">
        <f>F49*H49</f>
        <v/>
      </c>
      <c r="K49" s="28">
        <f>IF(H49&lt;=0, "Out of Stock", IF(H49&lt;=5, "Low Stock", "In Stock"))</f>
        <v/>
      </c>
      <c r="L49" s="28" t="inlineStr">
        <is>
          <t>2025-07-14 09:14 AM</t>
        </is>
      </c>
    </row>
    <row r="50">
      <c r="A50" s="26" t="inlineStr">
        <is>
          <t>8964000816516</t>
        </is>
      </c>
      <c r="B50" s="10" t="inlineStr">
        <is>
          <t>DAYFRESH CHOCOLATE</t>
        </is>
      </c>
      <c r="C50" s="10" t="inlineStr">
        <is>
          <t>Beverages &amp; Juices</t>
        </is>
      </c>
      <c r="D50" s="10" t="inlineStr">
        <is>
          <t>Drink</t>
        </is>
      </c>
      <c r="E50" s="13" t="n">
        <v>88</v>
      </c>
      <c r="F50" s="13" t="n">
        <v>100</v>
      </c>
      <c r="G50" s="13">
        <f>F50-E50</f>
        <v/>
      </c>
      <c r="H50" s="27" t="n">
        <v>6</v>
      </c>
      <c r="I50" s="13">
        <f>E50*H50</f>
        <v/>
      </c>
      <c r="J50" s="13">
        <f>F50*H50</f>
        <v/>
      </c>
      <c r="K50" s="26">
        <f>IF(H50&lt;=0, "Out of Stock", IF(H50&lt;=5, "Low Stock", "In Stock"))</f>
        <v/>
      </c>
      <c r="L50" s="26" t="inlineStr">
        <is>
          <t>2025-07-13 03:01 PM</t>
        </is>
      </c>
    </row>
    <row r="51">
      <c r="A51" s="28" t="inlineStr">
        <is>
          <t>8964000816493</t>
        </is>
      </c>
      <c r="B51" s="15" t="inlineStr">
        <is>
          <t>DAYFRESH STRAWBERRY</t>
        </is>
      </c>
      <c r="C51" s="15" t="inlineStr">
        <is>
          <t>Beverages &amp; Juices</t>
        </is>
      </c>
      <c r="D51" s="15" t="inlineStr">
        <is>
          <t>Drink</t>
        </is>
      </c>
      <c r="E51" s="18" t="n">
        <v>87</v>
      </c>
      <c r="F51" s="18" t="n">
        <v>100</v>
      </c>
      <c r="G51" s="18">
        <f>F51-E51</f>
        <v/>
      </c>
      <c r="H51" s="29" t="n">
        <v>14</v>
      </c>
      <c r="I51" s="18">
        <f>E51*H51</f>
        <v/>
      </c>
      <c r="J51" s="18">
        <f>F51*H51</f>
        <v/>
      </c>
      <c r="K51" s="28">
        <f>IF(H51&lt;=0, "Out of Stock", IF(H51&lt;=5, "Low Stock", "In Stock"))</f>
        <v/>
      </c>
      <c r="L51" s="28" t="inlineStr">
        <is>
          <t>2025-07-13 03:01 PM</t>
        </is>
      </c>
    </row>
    <row r="52">
      <c r="A52" s="26" t="inlineStr">
        <is>
          <t>8964003440572</t>
        </is>
      </c>
      <c r="B52" s="10" t="inlineStr">
        <is>
          <t>FANAS APPLE</t>
        </is>
      </c>
      <c r="C52" s="10" t="inlineStr">
        <is>
          <t>Beverages &amp; Juices</t>
        </is>
      </c>
      <c r="D52" s="10" t="inlineStr">
        <is>
          <t>Drink</t>
        </is>
      </c>
      <c r="E52" s="13" t="n">
        <v>35</v>
      </c>
      <c r="F52" s="13" t="n">
        <v>60</v>
      </c>
      <c r="G52" s="13">
        <f>F52-E52</f>
        <v/>
      </c>
      <c r="H52" s="27" t="n">
        <v>28</v>
      </c>
      <c r="I52" s="13">
        <f>E52*H52</f>
        <v/>
      </c>
      <c r="J52" s="13">
        <f>F52*H52</f>
        <v/>
      </c>
      <c r="K52" s="26">
        <f>IF(H52&lt;=0, "Out of Stock", IF(H52&lt;=5, "Low Stock", "In Stock"))</f>
        <v/>
      </c>
      <c r="L52" s="26" t="inlineStr">
        <is>
          <t>2025-07-14 07:45 AM</t>
        </is>
      </c>
    </row>
    <row r="53">
      <c r="A53" s="28" t="inlineStr">
        <is>
          <t>8964003440558</t>
        </is>
      </c>
      <c r="B53" s="15" t="inlineStr">
        <is>
          <t>FANAS GUAVA</t>
        </is>
      </c>
      <c r="C53" s="15" t="inlineStr">
        <is>
          <t>Beverages &amp; Juices</t>
        </is>
      </c>
      <c r="D53" s="15" t="inlineStr">
        <is>
          <t>Drink</t>
        </is>
      </c>
      <c r="E53" s="18" t="n">
        <v>35</v>
      </c>
      <c r="F53" s="18" t="n">
        <v>60</v>
      </c>
      <c r="G53" s="18">
        <f>F53-E53</f>
        <v/>
      </c>
      <c r="H53" s="29" t="n">
        <v>67</v>
      </c>
      <c r="I53" s="18">
        <f>E53*H53</f>
        <v/>
      </c>
      <c r="J53" s="18">
        <f>F53*H53</f>
        <v/>
      </c>
      <c r="K53" s="28">
        <f>IF(H53&lt;=0, "Out of Stock", IF(H53&lt;=5, "Low Stock", "In Stock"))</f>
        <v/>
      </c>
      <c r="L53" s="28" t="inlineStr">
        <is>
          <t>2025-07-14 07:43 AM</t>
        </is>
      </c>
    </row>
    <row r="54">
      <c r="A54" s="26" t="inlineStr">
        <is>
          <t>8964003440541</t>
        </is>
      </c>
      <c r="B54" s="10" t="inlineStr">
        <is>
          <t>FANAS MANGO FRUIT</t>
        </is>
      </c>
      <c r="C54" s="10" t="inlineStr">
        <is>
          <t>Beverages &amp; Juices</t>
        </is>
      </c>
      <c r="D54" s="10" t="inlineStr">
        <is>
          <t>Drink</t>
        </is>
      </c>
      <c r="E54" s="13" t="n">
        <v>36</v>
      </c>
      <c r="F54" s="13" t="n">
        <v>60</v>
      </c>
      <c r="G54" s="13">
        <f>F54-E54</f>
        <v/>
      </c>
      <c r="H54" s="27" t="n">
        <v>25</v>
      </c>
      <c r="I54" s="13">
        <f>E54*H54</f>
        <v/>
      </c>
      <c r="J54" s="13">
        <f>F54*H54</f>
        <v/>
      </c>
      <c r="K54" s="26">
        <f>IF(H54&lt;=0, "Out of Stock", IF(H54&lt;=5, "Low Stock", "In Stock"))</f>
        <v/>
      </c>
      <c r="L54" s="26" t="inlineStr">
        <is>
          <t>2025-07-14 07:37 AM</t>
        </is>
      </c>
    </row>
    <row r="55">
      <c r="A55" s="28" t="inlineStr">
        <is>
          <t>8964003440596</t>
        </is>
      </c>
      <c r="B55" s="15" t="inlineStr">
        <is>
          <t>FANAS MIXED FRUIT</t>
        </is>
      </c>
      <c r="C55" s="15" t="inlineStr">
        <is>
          <t>Beverages &amp; Juices</t>
        </is>
      </c>
      <c r="D55" s="15" t="inlineStr">
        <is>
          <t>Drink</t>
        </is>
      </c>
      <c r="E55" s="18" t="n">
        <v>35</v>
      </c>
      <c r="F55" s="18" t="n">
        <v>60</v>
      </c>
      <c r="G55" s="18">
        <f>F55-E55</f>
        <v/>
      </c>
      <c r="H55" s="29" t="n">
        <v>24</v>
      </c>
      <c r="I55" s="18">
        <f>E55*H55</f>
        <v/>
      </c>
      <c r="J55" s="18">
        <f>F55*H55</f>
        <v/>
      </c>
      <c r="K55" s="28">
        <f>IF(H55&lt;=0, "Out of Stock", IF(H55&lt;=5, "Low Stock", "In Stock"))</f>
        <v/>
      </c>
      <c r="L55" s="28" t="inlineStr">
        <is>
          <t>2025-07-14 07:44 AM</t>
        </is>
      </c>
    </row>
    <row r="56">
      <c r="A56" s="26" t="inlineStr">
        <is>
          <t>8964003440589</t>
        </is>
      </c>
      <c r="B56" s="10" t="inlineStr">
        <is>
          <t>FANAS ORANGE</t>
        </is>
      </c>
      <c r="C56" s="10" t="inlineStr">
        <is>
          <t>Beverages &amp; Juices</t>
        </is>
      </c>
      <c r="D56" s="10" t="inlineStr">
        <is>
          <t>Drink</t>
        </is>
      </c>
      <c r="E56" s="13" t="n">
        <v>35</v>
      </c>
      <c r="F56" s="13" t="n">
        <v>60</v>
      </c>
      <c r="G56" s="13">
        <f>F56-E56</f>
        <v/>
      </c>
      <c r="H56" s="27" t="n">
        <v>9</v>
      </c>
      <c r="I56" s="13">
        <f>E56*H56</f>
        <v/>
      </c>
      <c r="J56" s="13">
        <f>F56*H56</f>
        <v/>
      </c>
      <c r="K56" s="26">
        <f>IF(H56&lt;=0, "Out of Stock", IF(H56&lt;=5, "Low Stock", "In Stock"))</f>
        <v/>
      </c>
      <c r="L56" s="26" t="inlineStr">
        <is>
          <t>2025-07-14 07:46 AM</t>
        </is>
      </c>
    </row>
    <row r="57">
      <c r="A57" s="28" t="inlineStr">
        <is>
          <t>8964003440565</t>
        </is>
      </c>
      <c r="B57" s="15" t="inlineStr">
        <is>
          <t>FANAS PEACH</t>
        </is>
      </c>
      <c r="C57" s="15" t="inlineStr">
        <is>
          <t>Beverages &amp; Juices</t>
        </is>
      </c>
      <c r="D57" s="15" t="inlineStr">
        <is>
          <t>Drink</t>
        </is>
      </c>
      <c r="E57" s="18" t="n">
        <v>35</v>
      </c>
      <c r="F57" s="18" t="n">
        <v>60</v>
      </c>
      <c r="G57" s="18">
        <f>F57-E57</f>
        <v/>
      </c>
      <c r="H57" s="29" t="n">
        <v>10</v>
      </c>
      <c r="I57" s="18">
        <f>E57*H57</f>
        <v/>
      </c>
      <c r="J57" s="18">
        <f>F57*H57</f>
        <v/>
      </c>
      <c r="K57" s="28">
        <f>IF(H57&lt;=0, "Out of Stock", IF(H57&lt;=5, "Low Stock", "In Stock"))</f>
        <v/>
      </c>
      <c r="L57" s="28" t="inlineStr">
        <is>
          <t>2025-07-14 07:46 AM</t>
        </is>
      </c>
    </row>
    <row r="58">
      <c r="A58" s="26" t="inlineStr">
        <is>
          <t>5449000006271</t>
        </is>
      </c>
      <c r="B58" s="10" t="inlineStr">
        <is>
          <t>FANTA ORANGE FLAVOUR 1 LTR</t>
        </is>
      </c>
      <c r="C58" s="10" t="inlineStr">
        <is>
          <t>Beverages &amp; Juices</t>
        </is>
      </c>
      <c r="D58" s="10" t="inlineStr">
        <is>
          <t>Drink</t>
        </is>
      </c>
      <c r="E58" s="13" t="n">
        <v>130</v>
      </c>
      <c r="F58" s="13" t="n">
        <v>150</v>
      </c>
      <c r="G58" s="13">
        <f>F58-E58</f>
        <v/>
      </c>
      <c r="H58" s="27" t="n">
        <v>30</v>
      </c>
      <c r="I58" s="13">
        <f>E58*H58</f>
        <v/>
      </c>
      <c r="J58" s="13">
        <f>F58*H58</f>
        <v/>
      </c>
      <c r="K58" s="26">
        <f>IF(H58&lt;=0, "Out of Stock", IF(H58&lt;=5, "Low Stock", "In Stock"))</f>
        <v/>
      </c>
      <c r="L58" s="26" t="inlineStr">
        <is>
          <t>2025-07-17 07:00 PM</t>
        </is>
      </c>
    </row>
    <row r="59">
      <c r="A59" s="28" t="inlineStr">
        <is>
          <t>5449000052926</t>
        </is>
      </c>
      <c r="B59" s="15" t="inlineStr">
        <is>
          <t>FANTA ORANGE FLAVOUR 1.5 LTR</t>
        </is>
      </c>
      <c r="C59" s="15" t="inlineStr">
        <is>
          <t>Beverages &amp; Juices</t>
        </is>
      </c>
      <c r="D59" s="15" t="inlineStr">
        <is>
          <t>Drink</t>
        </is>
      </c>
      <c r="E59" s="18" t="n">
        <v>143</v>
      </c>
      <c r="F59" s="18" t="n">
        <v>200</v>
      </c>
      <c r="G59" s="18">
        <f>F59-E59</f>
        <v/>
      </c>
      <c r="H59" s="29" t="n">
        <v>46</v>
      </c>
      <c r="I59" s="18">
        <f>E59*H59</f>
        <v/>
      </c>
      <c r="J59" s="18">
        <f>F59*H59</f>
        <v/>
      </c>
      <c r="K59" s="28">
        <f>IF(H59&lt;=0, "Out of Stock", IF(H59&lt;=5, "Low Stock", "In Stock"))</f>
        <v/>
      </c>
      <c r="L59" s="28" t="inlineStr">
        <is>
          <t>2025-07-17 06:45 PM</t>
        </is>
      </c>
    </row>
    <row r="60">
      <c r="A60" s="26" t="inlineStr">
        <is>
          <t>40822938</t>
        </is>
      </c>
      <c r="B60" s="10" t="inlineStr">
        <is>
          <t>FANTA ORANGE FLAVOUR 500ML</t>
        </is>
      </c>
      <c r="C60" s="10" t="inlineStr">
        <is>
          <t>Beverages &amp; Juices</t>
        </is>
      </c>
      <c r="D60" s="10" t="inlineStr">
        <is>
          <t>Drink</t>
        </is>
      </c>
      <c r="E60" s="13" t="n">
        <v>89.5</v>
      </c>
      <c r="F60" s="13" t="n">
        <v>120</v>
      </c>
      <c r="G60" s="13">
        <f>F60-E60</f>
        <v/>
      </c>
      <c r="H60" s="27" t="n">
        <v>67</v>
      </c>
      <c r="I60" s="13">
        <f>E60*H60</f>
        <v/>
      </c>
      <c r="J60" s="13">
        <f>F60*H60</f>
        <v/>
      </c>
      <c r="K60" s="26">
        <f>IF(H60&lt;=0, "Out of Stock", IF(H60&lt;=5, "Low Stock", "In Stock"))</f>
        <v/>
      </c>
      <c r="L60" s="26" t="inlineStr">
        <is>
          <t>2025-07-18 02:19 PM</t>
        </is>
      </c>
    </row>
    <row r="61">
      <c r="A61" s="28" t="inlineStr">
        <is>
          <t>764460205503</t>
        </is>
      </c>
      <c r="B61" s="15" t="inlineStr">
        <is>
          <t>FROOT FULL NECTAR</t>
        </is>
      </c>
      <c r="C61" s="15" t="inlineStr">
        <is>
          <t>Beverages &amp; Juices</t>
        </is>
      </c>
      <c r="D61" s="15" t="inlineStr">
        <is>
          <t>Drink</t>
        </is>
      </c>
      <c r="E61" s="18" t="n">
        <v>110</v>
      </c>
      <c r="F61" s="18" t="n">
        <v>140</v>
      </c>
      <c r="G61" s="18">
        <f>F61-E61</f>
        <v/>
      </c>
      <c r="H61" s="29" t="n">
        <v>2</v>
      </c>
      <c r="I61" s="18">
        <f>E61*H61</f>
        <v/>
      </c>
      <c r="J61" s="18">
        <f>F61*H61</f>
        <v/>
      </c>
      <c r="K61" s="28">
        <f>IF(H61&lt;=0, "Out of Stock", IF(H61&lt;=5, "Low Stock", "In Stock"))</f>
        <v/>
      </c>
      <c r="L61" s="28" t="inlineStr">
        <is>
          <t>2025-08-02 06:48 PM</t>
        </is>
      </c>
    </row>
    <row r="62">
      <c r="A62" s="26" t="inlineStr">
        <is>
          <t>735745359433</t>
        </is>
      </c>
      <c r="B62" s="10" t="inlineStr">
        <is>
          <t>FRUIT FARM APPLE 1 LTR</t>
        </is>
      </c>
      <c r="C62" s="10" t="inlineStr">
        <is>
          <t>Beverages &amp; Juices</t>
        </is>
      </c>
      <c r="D62" s="10" t="inlineStr">
        <is>
          <t>Drink</t>
        </is>
      </c>
      <c r="E62" s="13" t="n">
        <v>165</v>
      </c>
      <c r="F62" s="13" t="n">
        <v>220</v>
      </c>
      <c r="G62" s="13">
        <f>F62-E62</f>
        <v/>
      </c>
      <c r="H62" s="27" t="n">
        <v>1</v>
      </c>
      <c r="I62" s="13">
        <f>E62*H62</f>
        <v/>
      </c>
      <c r="J62" s="13">
        <f>F62*H62</f>
        <v/>
      </c>
      <c r="K62" s="26">
        <f>IF(H62&lt;=0, "Out of Stock", IF(H62&lt;=5, "Low Stock", "In Stock"))</f>
        <v/>
      </c>
      <c r="L62" s="26" t="inlineStr">
        <is>
          <t>2025-07-14 09:15 AM</t>
        </is>
      </c>
    </row>
    <row r="63">
      <c r="A63" s="28" t="inlineStr">
        <is>
          <t>8961008223506</t>
        </is>
      </c>
      <c r="B63" s="15" t="inlineStr">
        <is>
          <t>FRUITA VITALS APPLE 200ML</t>
        </is>
      </c>
      <c r="C63" s="15" t="inlineStr">
        <is>
          <t>Beverages &amp; Juices</t>
        </is>
      </c>
      <c r="D63" s="15" t="inlineStr">
        <is>
          <t>Drink</t>
        </is>
      </c>
      <c r="E63" s="18" t="n">
        <v>63</v>
      </c>
      <c r="F63" s="18" t="n">
        <v>80</v>
      </c>
      <c r="G63" s="18">
        <f>F63-E63</f>
        <v/>
      </c>
      <c r="H63" s="29" t="n">
        <v>38</v>
      </c>
      <c r="I63" s="18">
        <f>E63*H63</f>
        <v/>
      </c>
      <c r="J63" s="18">
        <f>F63*H63</f>
        <v/>
      </c>
      <c r="K63" s="28">
        <f>IF(H63&lt;=0, "Out of Stock", IF(H63&lt;=5, "Low Stock", "In Stock"))</f>
        <v/>
      </c>
      <c r="L63" s="28" t="inlineStr">
        <is>
          <t>2025-07-17 03:25 PM</t>
        </is>
      </c>
    </row>
    <row r="64">
      <c r="A64" s="26" t="inlineStr">
        <is>
          <t>8961008223476</t>
        </is>
      </c>
      <c r="B64" s="10" t="inlineStr">
        <is>
          <t>FRUITA VITALS GUAVA 200ML</t>
        </is>
      </c>
      <c r="C64" s="10" t="inlineStr">
        <is>
          <t>Beverages &amp; Juices</t>
        </is>
      </c>
      <c r="D64" s="10" t="inlineStr">
        <is>
          <t>Drink</t>
        </is>
      </c>
      <c r="E64" s="13" t="n">
        <v>63</v>
      </c>
      <c r="F64" s="13" t="n">
        <v>80</v>
      </c>
      <c r="G64" s="13">
        <f>F64-E64</f>
        <v/>
      </c>
      <c r="H64" s="27" t="n">
        <v>8</v>
      </c>
      <c r="I64" s="13">
        <f>E64*H64</f>
        <v/>
      </c>
      <c r="J64" s="13">
        <f>F64*H64</f>
        <v/>
      </c>
      <c r="K64" s="26">
        <f>IF(H64&lt;=0, "Out of Stock", IF(H64&lt;=5, "Low Stock", "In Stock"))</f>
        <v/>
      </c>
      <c r="L64" s="26" t="inlineStr">
        <is>
          <t>2025-07-17 03:26 PM</t>
        </is>
      </c>
    </row>
    <row r="65">
      <c r="A65" s="28" t="inlineStr">
        <is>
          <t>8964521586585</t>
        </is>
      </c>
      <c r="B65" s="15" t="inlineStr">
        <is>
          <t>FRUITAA MANGO FLAVOUR</t>
        </is>
      </c>
      <c r="C65" s="15" t="inlineStr">
        <is>
          <t>Beverages &amp; Juices</t>
        </is>
      </c>
      <c r="D65" s="15" t="inlineStr">
        <is>
          <t>Drink</t>
        </is>
      </c>
      <c r="E65" s="18" t="n">
        <v>24</v>
      </c>
      <c r="F65" s="18" t="n">
        <v>50</v>
      </c>
      <c r="G65" s="18">
        <f>F65-E65</f>
        <v/>
      </c>
      <c r="H65" s="29" t="n">
        <v>125</v>
      </c>
      <c r="I65" s="18">
        <f>E65*H65</f>
        <v/>
      </c>
      <c r="J65" s="18">
        <f>F65*H65</f>
        <v/>
      </c>
      <c r="K65" s="28">
        <f>IF(H65&lt;=0, "Out of Stock", IF(H65&lt;=5, "Low Stock", "In Stock"))</f>
        <v/>
      </c>
      <c r="L65" s="28" t="inlineStr">
        <is>
          <t>2025-07-14 07:30 AM</t>
        </is>
      </c>
    </row>
    <row r="66">
      <c r="A66" s="26" t="inlineStr">
        <is>
          <t>1512141512186</t>
        </is>
      </c>
      <c r="B66" s="10" t="inlineStr">
        <is>
          <t>FRUITICANA GUAVA</t>
        </is>
      </c>
      <c r="C66" s="10" t="inlineStr">
        <is>
          <t>Beverages &amp; Juices</t>
        </is>
      </c>
      <c r="D66" s="10" t="inlineStr">
        <is>
          <t>Drink</t>
        </is>
      </c>
      <c r="E66" s="13" t="n">
        <v>87</v>
      </c>
      <c r="F66" s="13" t="n">
        <v>120</v>
      </c>
      <c r="G66" s="13">
        <f>F66-E66</f>
        <v/>
      </c>
      <c r="H66" s="27" t="n">
        <v>15</v>
      </c>
      <c r="I66" s="13">
        <f>E66*H66</f>
        <v/>
      </c>
      <c r="J66" s="13">
        <f>F66*H66</f>
        <v/>
      </c>
      <c r="K66" s="26">
        <f>IF(H66&lt;=0, "Out of Stock", IF(H66&lt;=5, "Low Stock", "In Stock"))</f>
        <v/>
      </c>
      <c r="L66" s="26" t="inlineStr">
        <is>
          <t>2025-07-13 07:37 PM</t>
        </is>
      </c>
    </row>
    <row r="67">
      <c r="A67" s="28" t="inlineStr">
        <is>
          <t>1512141512261</t>
        </is>
      </c>
      <c r="B67" s="15" t="inlineStr">
        <is>
          <t>FRUITICANA LYCHEE 500 ML</t>
        </is>
      </c>
      <c r="C67" s="15" t="inlineStr">
        <is>
          <t>Beverages &amp; Juices</t>
        </is>
      </c>
      <c r="D67" s="15" t="inlineStr">
        <is>
          <t>Drink</t>
        </is>
      </c>
      <c r="E67" s="18" t="n">
        <v>87</v>
      </c>
      <c r="F67" s="18" t="n">
        <v>110</v>
      </c>
      <c r="G67" s="18">
        <f>F67-E67</f>
        <v/>
      </c>
      <c r="H67" s="29" t="n">
        <v>12</v>
      </c>
      <c r="I67" s="18">
        <f>E67*H67</f>
        <v/>
      </c>
      <c r="J67" s="18">
        <f>F67*H67</f>
        <v/>
      </c>
      <c r="K67" s="28">
        <f>IF(H67&lt;=0, "Out of Stock", IF(H67&lt;=5, "Low Stock", "In Stock"))</f>
        <v/>
      </c>
      <c r="L67" s="28" t="inlineStr">
        <is>
          <t>2025-07-31 11:08 AM</t>
        </is>
      </c>
    </row>
    <row r="68">
      <c r="A68" s="26" t="inlineStr">
        <is>
          <t>1512141512209</t>
        </is>
      </c>
      <c r="B68" s="10" t="inlineStr">
        <is>
          <t>FRUITICANA MANGO 1 LTR</t>
        </is>
      </c>
      <c r="C68" s="10" t="inlineStr">
        <is>
          <t>Beverages &amp; Juices</t>
        </is>
      </c>
      <c r="D68" s="10" t="inlineStr">
        <is>
          <t>Drink</t>
        </is>
      </c>
      <c r="E68" s="13" t="n">
        <v>155</v>
      </c>
      <c r="F68" s="13" t="n">
        <v>200</v>
      </c>
      <c r="G68" s="13">
        <f>F68-E68</f>
        <v/>
      </c>
      <c r="H68" s="27" t="n">
        <v>11</v>
      </c>
      <c r="I68" s="13">
        <f>E68*H68</f>
        <v/>
      </c>
      <c r="J68" s="13">
        <f>F68*H68</f>
        <v/>
      </c>
      <c r="K68" s="26">
        <f>IF(H68&lt;=0, "Out of Stock", IF(H68&lt;=5, "Low Stock", "In Stock"))</f>
        <v/>
      </c>
      <c r="L68" s="26" t="inlineStr">
        <is>
          <t>2025-07-31 11:09 AM</t>
        </is>
      </c>
    </row>
    <row r="69">
      <c r="A69" s="28" t="inlineStr">
        <is>
          <t>1512141522550</t>
        </is>
      </c>
      <c r="B69" s="15" t="inlineStr">
        <is>
          <t>FRUITICANA MIXED FRUIT</t>
        </is>
      </c>
      <c r="C69" s="15" t="inlineStr">
        <is>
          <t>Beverages &amp; Juices</t>
        </is>
      </c>
      <c r="D69" s="15" t="inlineStr">
        <is>
          <t>Drink</t>
        </is>
      </c>
      <c r="E69" s="18" t="n">
        <v>87</v>
      </c>
      <c r="F69" s="18" t="n">
        <v>110</v>
      </c>
      <c r="G69" s="18">
        <f>F69-E69</f>
        <v/>
      </c>
      <c r="H69" s="29" t="n">
        <v>15</v>
      </c>
      <c r="I69" s="18">
        <f>E69*H69</f>
        <v/>
      </c>
      <c r="J69" s="18">
        <f>F69*H69</f>
        <v/>
      </c>
      <c r="K69" s="28">
        <f>IF(H69&lt;=0, "Out of Stock", IF(H69&lt;=5, "Low Stock", "In Stock"))</f>
        <v/>
      </c>
      <c r="L69" s="28" t="inlineStr">
        <is>
          <t>2025-07-13 07:42 PM</t>
        </is>
      </c>
    </row>
    <row r="70">
      <c r="A70" s="26" t="inlineStr">
        <is>
          <t>1512141522789</t>
        </is>
      </c>
      <c r="B70" s="10" t="inlineStr">
        <is>
          <t>FRUITICANA MIXED FRUIT 1 LTR</t>
        </is>
      </c>
      <c r="C70" s="10" t="inlineStr">
        <is>
          <t>Beverages &amp; Juices</t>
        </is>
      </c>
      <c r="D70" s="10" t="inlineStr">
        <is>
          <t>Drink</t>
        </is>
      </c>
      <c r="E70" s="13" t="n">
        <v>155</v>
      </c>
      <c r="F70" s="13" t="n">
        <v>200</v>
      </c>
      <c r="G70" s="13">
        <f>F70-E70</f>
        <v/>
      </c>
      <c r="H70" s="27" t="n">
        <v>4</v>
      </c>
      <c r="I70" s="13">
        <f>E70*H70</f>
        <v/>
      </c>
      <c r="J70" s="13">
        <f>F70*H70</f>
        <v/>
      </c>
      <c r="K70" s="26">
        <f>IF(H70&lt;=0, "Out of Stock", IF(H70&lt;=5, "Low Stock", "In Stock"))</f>
        <v/>
      </c>
      <c r="L70" s="26" t="inlineStr">
        <is>
          <t>2025-07-13 07:48 PM</t>
        </is>
      </c>
    </row>
    <row r="71">
      <c r="A71" s="28" t="inlineStr">
        <is>
          <t>1512141565557</t>
        </is>
      </c>
      <c r="B71" s="15" t="inlineStr">
        <is>
          <t>FRUITICANA ORANGE JUICE</t>
        </is>
      </c>
      <c r="C71" s="15" t="inlineStr">
        <is>
          <t>Beverages &amp; Juices</t>
        </is>
      </c>
      <c r="D71" s="15" t="inlineStr">
        <is>
          <t>Drink</t>
        </is>
      </c>
      <c r="E71" s="18" t="n">
        <v>87</v>
      </c>
      <c r="F71" s="18" t="n">
        <v>120</v>
      </c>
      <c r="G71" s="18">
        <f>F71-E71</f>
        <v/>
      </c>
      <c r="H71" s="29" t="n">
        <v>53</v>
      </c>
      <c r="I71" s="18">
        <f>E71*H71</f>
        <v/>
      </c>
      <c r="J71" s="18">
        <f>F71*H71</f>
        <v/>
      </c>
      <c r="K71" s="28">
        <f>IF(H71&lt;=0, "Out of Stock", IF(H71&lt;=5, "Low Stock", "In Stock"))</f>
        <v/>
      </c>
      <c r="L71" s="28" t="inlineStr">
        <is>
          <t>2025-07-13 07:40 PM</t>
        </is>
      </c>
    </row>
    <row r="72">
      <c r="A72" s="26" t="inlineStr">
        <is>
          <t>1512141522796</t>
        </is>
      </c>
      <c r="B72" s="10" t="inlineStr">
        <is>
          <t>FRUITICANA PEACH 1 LTR</t>
        </is>
      </c>
      <c r="C72" s="10" t="inlineStr">
        <is>
          <t>Beverages &amp; Juices</t>
        </is>
      </c>
      <c r="D72" s="10" t="inlineStr">
        <is>
          <t>Drink</t>
        </is>
      </c>
      <c r="E72" s="13" t="n">
        <v>155</v>
      </c>
      <c r="F72" s="13" t="n">
        <v>200</v>
      </c>
      <c r="G72" s="13">
        <f>F72-E72</f>
        <v/>
      </c>
      <c r="H72" s="27" t="n">
        <v>11</v>
      </c>
      <c r="I72" s="13">
        <f>E72*H72</f>
        <v/>
      </c>
      <c r="J72" s="13">
        <f>F72*H72</f>
        <v/>
      </c>
      <c r="K72" s="26">
        <f>IF(H72&lt;=0, "Out of Stock", IF(H72&lt;=5, "Low Stock", "In Stock"))</f>
        <v/>
      </c>
      <c r="L72" s="26" t="inlineStr">
        <is>
          <t>2025-07-31 11:10 AM</t>
        </is>
      </c>
    </row>
    <row r="73">
      <c r="A73" s="28" t="inlineStr">
        <is>
          <t>745178142649</t>
        </is>
      </c>
      <c r="B73" s="15" t="inlineStr">
        <is>
          <t>FRUTRU BADAM</t>
        </is>
      </c>
      <c r="C73" s="15" t="inlineStr">
        <is>
          <t>Beverages &amp; Juices</t>
        </is>
      </c>
      <c r="D73" s="15" t="inlineStr">
        <is>
          <t>Drink</t>
        </is>
      </c>
      <c r="E73" s="18" t="n">
        <v>87</v>
      </c>
      <c r="F73" s="18" t="n">
        <v>100</v>
      </c>
      <c r="G73" s="18">
        <f>F73-E73</f>
        <v/>
      </c>
      <c r="H73" s="29" t="n">
        <v>10</v>
      </c>
      <c r="I73" s="18">
        <f>E73*H73</f>
        <v/>
      </c>
      <c r="J73" s="18">
        <f>F73*H73</f>
        <v/>
      </c>
      <c r="K73" s="28">
        <f>IF(H73&lt;=0, "Out of Stock", IF(H73&lt;=5, "Low Stock", "In Stock"))</f>
        <v/>
      </c>
      <c r="L73" s="28" t="inlineStr">
        <is>
          <t>2025-07-13 03:15 PM</t>
        </is>
      </c>
    </row>
    <row r="74">
      <c r="A74" s="26" t="inlineStr">
        <is>
          <t>745114691163</t>
        </is>
      </c>
      <c r="B74" s="10" t="inlineStr">
        <is>
          <t>FRUTRU BANANA</t>
        </is>
      </c>
      <c r="C74" s="10" t="inlineStr">
        <is>
          <t>Beverages &amp; Juices</t>
        </is>
      </c>
      <c r="D74" s="10" t="inlineStr">
        <is>
          <t>Drink</t>
        </is>
      </c>
      <c r="E74" s="13" t="n">
        <v>87</v>
      </c>
      <c r="F74" s="13" t="n">
        <v>100</v>
      </c>
      <c r="G74" s="13">
        <f>F74-E74</f>
        <v/>
      </c>
      <c r="H74" s="27" t="n">
        <v>20</v>
      </c>
      <c r="I74" s="13">
        <f>E74*H74</f>
        <v/>
      </c>
      <c r="J74" s="13">
        <f>F74*H74</f>
        <v/>
      </c>
      <c r="K74" s="26">
        <f>IF(H74&lt;=0, "Out of Stock", IF(H74&lt;=5, "Low Stock", "In Stock"))</f>
        <v/>
      </c>
      <c r="L74" s="26" t="inlineStr">
        <is>
          <t>2025-07-13 03:16 PM</t>
        </is>
      </c>
    </row>
    <row r="75">
      <c r="A75" s="28" t="inlineStr">
        <is>
          <t>745178142205</t>
        </is>
      </c>
      <c r="B75" s="15" t="inlineStr">
        <is>
          <t>FRUTRU KHAJOOR MILK</t>
        </is>
      </c>
      <c r="C75" s="15" t="inlineStr">
        <is>
          <t>Beverages &amp; Juices</t>
        </is>
      </c>
      <c r="D75" s="15" t="inlineStr">
        <is>
          <t>Drink</t>
        </is>
      </c>
      <c r="E75" s="18" t="n">
        <v>87</v>
      </c>
      <c r="F75" s="18" t="n">
        <v>100</v>
      </c>
      <c r="G75" s="18">
        <f>F75-E75</f>
        <v/>
      </c>
      <c r="H75" s="29" t="n">
        <v>32</v>
      </c>
      <c r="I75" s="18">
        <f>E75*H75</f>
        <v/>
      </c>
      <c r="J75" s="18">
        <f>F75*H75</f>
        <v/>
      </c>
      <c r="K75" s="28">
        <f>IF(H75&lt;=0, "Out of Stock", IF(H75&lt;=5, "Low Stock", "In Stock"))</f>
        <v/>
      </c>
      <c r="L75" s="28" t="inlineStr">
        <is>
          <t>2025-07-13 03:08 PM</t>
        </is>
      </c>
    </row>
    <row r="76">
      <c r="A76" s="26" t="inlineStr">
        <is>
          <t>745178142144</t>
        </is>
      </c>
      <c r="B76" s="10" t="inlineStr">
        <is>
          <t>FRUTRU STRABERRY MILK</t>
        </is>
      </c>
      <c r="C76" s="10" t="inlineStr">
        <is>
          <t>Beverages &amp; Juices</t>
        </is>
      </c>
      <c r="D76" s="10" t="inlineStr">
        <is>
          <t>Drink</t>
        </is>
      </c>
      <c r="E76" s="13" t="n">
        <v>87</v>
      </c>
      <c r="F76" s="13" t="n">
        <v>100</v>
      </c>
      <c r="G76" s="13">
        <f>F76-E76</f>
        <v/>
      </c>
      <c r="H76" s="27" t="n">
        <v>13</v>
      </c>
      <c r="I76" s="13">
        <f>E76*H76</f>
        <v/>
      </c>
      <c r="J76" s="13">
        <f>F76*H76</f>
        <v/>
      </c>
      <c r="K76" s="26">
        <f>IF(H76&lt;=0, "Out of Stock", IF(H76&lt;=5, "Low Stock", "In Stock"))</f>
        <v/>
      </c>
      <c r="L76" s="26" t="inlineStr">
        <is>
          <t>2025-07-13 03:09 PM</t>
        </is>
      </c>
    </row>
    <row r="77">
      <c r="A77" s="28" t="inlineStr">
        <is>
          <t>PROD-20250713-FRUTTO</t>
        </is>
      </c>
      <c r="B77" s="15" t="inlineStr">
        <is>
          <t>FRUTTO APPLE</t>
        </is>
      </c>
      <c r="C77" s="15" t="inlineStr">
        <is>
          <t>Beverages &amp; Juices</t>
        </is>
      </c>
      <c r="D77" s="15" t="inlineStr">
        <is>
          <t>Drink</t>
        </is>
      </c>
      <c r="E77" s="18" t="n">
        <v>159</v>
      </c>
      <c r="F77" s="18" t="n">
        <v>220</v>
      </c>
      <c r="G77" s="18">
        <f>F77-E77</f>
        <v/>
      </c>
      <c r="H77" s="29" t="n">
        <v>17</v>
      </c>
      <c r="I77" s="18">
        <f>E77*H77</f>
        <v/>
      </c>
      <c r="J77" s="18">
        <f>F77*H77</f>
        <v/>
      </c>
      <c r="K77" s="28">
        <f>IF(H77&lt;=0, "Out of Stock", IF(H77&lt;=5, "Low Stock", "In Stock"))</f>
        <v/>
      </c>
      <c r="L77" s="28" t="inlineStr">
        <is>
          <t>2025-07-13 08:01 PM</t>
        </is>
      </c>
    </row>
    <row r="78">
      <c r="A78" s="26" t="inlineStr">
        <is>
          <t>PROD-20250713-005430 FRUTTO</t>
        </is>
      </c>
      <c r="B78" s="10" t="inlineStr">
        <is>
          <t>FRUTTO MANGO</t>
        </is>
      </c>
      <c r="C78" s="10" t="inlineStr">
        <is>
          <t>Beverages &amp; Juices</t>
        </is>
      </c>
      <c r="D78" s="10" t="inlineStr">
        <is>
          <t>Drink</t>
        </is>
      </c>
      <c r="E78" s="13" t="n">
        <v>158</v>
      </c>
      <c r="F78" s="13" t="n">
        <v>220</v>
      </c>
      <c r="G78" s="13">
        <f>F78-E78</f>
        <v/>
      </c>
      <c r="H78" s="27" t="n">
        <v>13</v>
      </c>
      <c r="I78" s="13">
        <f>E78*H78</f>
        <v/>
      </c>
      <c r="J78" s="13">
        <f>F78*H78</f>
        <v/>
      </c>
      <c r="K78" s="26">
        <f>IF(H78&lt;=0, "Out of Stock", IF(H78&lt;=5, "Low Stock", "In Stock"))</f>
        <v/>
      </c>
      <c r="L78" s="26" t="inlineStr">
        <is>
          <t>2025-07-13 07:59 PM</t>
        </is>
      </c>
    </row>
    <row r="79">
      <c r="A79" s="28" t="inlineStr">
        <is>
          <t>8966000071995</t>
        </is>
      </c>
      <c r="B79" s="15" t="inlineStr">
        <is>
          <t>FUNTIME JUICE MANGO 1LTR</t>
        </is>
      </c>
      <c r="C79" s="15" t="inlineStr">
        <is>
          <t>Beverages &amp; Juices</t>
        </is>
      </c>
      <c r="D79" s="15" t="inlineStr">
        <is>
          <t>Drink</t>
        </is>
      </c>
      <c r="E79" s="18" t="n">
        <v>150</v>
      </c>
      <c r="F79" s="18" t="n">
        <v>200</v>
      </c>
      <c r="G79" s="18">
        <f>F79-E79</f>
        <v/>
      </c>
      <c r="H79" s="29" t="n">
        <v>0</v>
      </c>
      <c r="I79" s="18">
        <f>E79*H79</f>
        <v/>
      </c>
      <c r="J79" s="18">
        <f>F79*H79</f>
        <v/>
      </c>
      <c r="K79" s="28">
        <f>IF(H79&lt;=0, "Out of Stock", IF(H79&lt;=5, "Low Stock", "In Stock"))</f>
        <v/>
      </c>
      <c r="L79" s="28" t="inlineStr">
        <is>
          <t>2025-07-17 03:14 PM</t>
        </is>
      </c>
    </row>
    <row r="80">
      <c r="A80" s="26" t="inlineStr">
        <is>
          <t>46876380002</t>
        </is>
      </c>
      <c r="B80" s="10" t="inlineStr">
        <is>
          <t>GOURMET COLA 1.5 LTR</t>
        </is>
      </c>
      <c r="C80" s="10" t="inlineStr">
        <is>
          <t>Beverages &amp; Juices</t>
        </is>
      </c>
      <c r="D80" s="10" t="inlineStr">
        <is>
          <t>Drink</t>
        </is>
      </c>
      <c r="E80" s="13" t="n">
        <v>141</v>
      </c>
      <c r="F80" s="13" t="n">
        <v>170</v>
      </c>
      <c r="G80" s="13">
        <f>F80-E80</f>
        <v/>
      </c>
      <c r="H80" s="27" t="n">
        <v>1</v>
      </c>
      <c r="I80" s="13">
        <f>E80*H80</f>
        <v/>
      </c>
      <c r="J80" s="13">
        <f>F80*H80</f>
        <v/>
      </c>
      <c r="K80" s="26">
        <f>IF(H80&lt;=0, "Out of Stock", IF(H80&lt;=5, "Low Stock", "In Stock"))</f>
        <v/>
      </c>
      <c r="L80" s="26" t="inlineStr">
        <is>
          <t>2025-07-17 10:43 AM</t>
        </is>
      </c>
    </row>
    <row r="81">
      <c r="A81" s="28" t="inlineStr">
        <is>
          <t>46876380007</t>
        </is>
      </c>
      <c r="B81" s="15" t="inlineStr">
        <is>
          <t>GOURMET LEMON UP 1 LTR</t>
        </is>
      </c>
      <c r="C81" s="15" t="inlineStr">
        <is>
          <t>Beverages &amp; Juices</t>
        </is>
      </c>
      <c r="D81" s="15" t="inlineStr">
        <is>
          <t>Drink</t>
        </is>
      </c>
      <c r="E81" s="18" t="n">
        <v>105</v>
      </c>
      <c r="F81" s="18" t="n">
        <v>130</v>
      </c>
      <c r="G81" s="18">
        <f>F81-E81</f>
        <v/>
      </c>
      <c r="H81" s="29" t="n">
        <v>5</v>
      </c>
      <c r="I81" s="18">
        <f>E81*H81</f>
        <v/>
      </c>
      <c r="J81" s="18">
        <f>F81*H81</f>
        <v/>
      </c>
      <c r="K81" s="28">
        <f>IF(H81&lt;=0, "Out of Stock", IF(H81&lt;=5, "Low Stock", "In Stock"))</f>
        <v/>
      </c>
      <c r="L81" s="28" t="inlineStr">
        <is>
          <t>2025-07-17 07:04 PM</t>
        </is>
      </c>
    </row>
    <row r="82">
      <c r="A82" s="26" t="inlineStr">
        <is>
          <t>46876380008</t>
        </is>
      </c>
      <c r="B82" s="10" t="inlineStr">
        <is>
          <t>GOURMET LEMON UP 500 ML</t>
        </is>
      </c>
      <c r="C82" s="10" t="inlineStr">
        <is>
          <t>Beverages &amp; Juices</t>
        </is>
      </c>
      <c r="D82" s="10" t="inlineStr">
        <is>
          <t>Drink</t>
        </is>
      </c>
      <c r="E82" s="13" t="n">
        <v>72</v>
      </c>
      <c r="F82" s="13" t="n">
        <v>100</v>
      </c>
      <c r="G82" s="13">
        <f>F82-E82</f>
        <v/>
      </c>
      <c r="H82" s="27" t="n">
        <v>12</v>
      </c>
      <c r="I82" s="13">
        <f>E82*H82</f>
        <v/>
      </c>
      <c r="J82" s="13">
        <f>F82*H82</f>
        <v/>
      </c>
      <c r="K82" s="26">
        <f>IF(H82&lt;=0, "Out of Stock", IF(H82&lt;=5, "Low Stock", "In Stock"))</f>
        <v/>
      </c>
      <c r="L82" s="26" t="inlineStr">
        <is>
          <t>2025-07-17 07:02 PM</t>
        </is>
      </c>
    </row>
    <row r="83">
      <c r="A83" s="28" t="inlineStr">
        <is>
          <t>7260628312739</t>
        </is>
      </c>
      <c r="B83" s="15" t="inlineStr">
        <is>
          <t>HAPPY ENERGY DRINK</t>
        </is>
      </c>
      <c r="C83" s="15" t="inlineStr">
        <is>
          <t>Beverages &amp; Juices</t>
        </is>
      </c>
      <c r="D83" s="15" t="inlineStr">
        <is>
          <t>Drink</t>
        </is>
      </c>
      <c r="E83" s="18" t="n">
        <v>187.2</v>
      </c>
      <c r="F83" s="18" t="n">
        <v>250</v>
      </c>
      <c r="G83" s="18">
        <f>F83-E83</f>
        <v/>
      </c>
      <c r="H83" s="29" t="n">
        <v>22</v>
      </c>
      <c r="I83" s="18">
        <f>E83*H83</f>
        <v/>
      </c>
      <c r="J83" s="18">
        <f>F83*H83</f>
        <v/>
      </c>
      <c r="K83" s="28">
        <f>IF(H83&lt;=0, "Out of Stock", IF(H83&lt;=5, "Low Stock", "In Stock"))</f>
        <v/>
      </c>
      <c r="L83" s="28" t="inlineStr">
        <is>
          <t>2025-07-17 01:25 PM</t>
        </is>
      </c>
    </row>
    <row r="84">
      <c r="A84" s="26" t="inlineStr">
        <is>
          <t>1860236002037</t>
        </is>
      </c>
      <c r="B84" s="10" t="inlineStr">
        <is>
          <t>LEMON MALT NON ALCOHOLIC</t>
        </is>
      </c>
      <c r="C84" s="10" t="inlineStr">
        <is>
          <t>Beverages &amp; Juices</t>
        </is>
      </c>
      <c r="D84" s="10" t="inlineStr">
        <is>
          <t>Drink</t>
        </is>
      </c>
      <c r="E84" s="13" t="n">
        <v>73</v>
      </c>
      <c r="F84" s="13" t="n">
        <v>90</v>
      </c>
      <c r="G84" s="13">
        <f>F84-E84</f>
        <v/>
      </c>
      <c r="H84" s="27" t="n">
        <v>66</v>
      </c>
      <c r="I84" s="13">
        <f>E84*H84</f>
        <v/>
      </c>
      <c r="J84" s="13">
        <f>F84*H84</f>
        <v/>
      </c>
      <c r="K84" s="26">
        <f>IF(H84&lt;=0, "Out of Stock", IF(H84&lt;=5, "Low Stock", "In Stock"))</f>
        <v/>
      </c>
      <c r="L84" s="26" t="inlineStr">
        <is>
          <t>2025-07-29 05:16 PM</t>
        </is>
      </c>
    </row>
    <row r="85">
      <c r="A85" s="28" t="inlineStr">
        <is>
          <t>8964000101117</t>
        </is>
      </c>
      <c r="B85" s="15" t="inlineStr">
        <is>
          <t>MOUNTAIN DEW 1.5 LTR</t>
        </is>
      </c>
      <c r="C85" s="15" t="inlineStr">
        <is>
          <t>Beverages &amp; Juices</t>
        </is>
      </c>
      <c r="D85" s="15" t="inlineStr">
        <is>
          <t>Drink</t>
        </is>
      </c>
      <c r="E85" s="18" t="n">
        <v>150</v>
      </c>
      <c r="F85" s="18" t="n">
        <v>200</v>
      </c>
      <c r="G85" s="18">
        <f>F85-E85</f>
        <v/>
      </c>
      <c r="H85" s="29" t="n">
        <v>14</v>
      </c>
      <c r="I85" s="18">
        <f>E85*H85</f>
        <v/>
      </c>
      <c r="J85" s="18">
        <f>F85*H85</f>
        <v/>
      </c>
      <c r="K85" s="28">
        <f>IF(H85&lt;=0, "Out of Stock", IF(H85&lt;=5, "Low Stock", "In Stock"))</f>
        <v/>
      </c>
      <c r="L85" s="28" t="inlineStr">
        <is>
          <t>2025-07-17 10:32 AM</t>
        </is>
      </c>
    </row>
    <row r="86">
      <c r="A86" s="26" t="inlineStr">
        <is>
          <t>8961008223070</t>
        </is>
      </c>
      <c r="B86" s="10" t="inlineStr">
        <is>
          <t>NESTLE FRUITA VITALS APPLE 1LTR</t>
        </is>
      </c>
      <c r="C86" s="10" t="inlineStr">
        <is>
          <t>Beverages &amp; Juices</t>
        </is>
      </c>
      <c r="D86" s="10" t="inlineStr">
        <is>
          <t>Drink</t>
        </is>
      </c>
      <c r="E86" s="13" t="n">
        <v>341</v>
      </c>
      <c r="F86" s="13" t="n">
        <v>400</v>
      </c>
      <c r="G86" s="13">
        <f>F86-E86</f>
        <v/>
      </c>
      <c r="H86" s="27" t="n">
        <v>28</v>
      </c>
      <c r="I86" s="13">
        <f>E86*H86</f>
        <v/>
      </c>
      <c r="J86" s="13">
        <f>F86*H86</f>
        <v/>
      </c>
      <c r="K86" s="26">
        <f>IF(H86&lt;=0, "Out of Stock", IF(H86&lt;=5, "Low Stock", "In Stock"))</f>
        <v/>
      </c>
      <c r="L86" s="26" t="inlineStr">
        <is>
          <t>2025-07-15 05:42 PM</t>
        </is>
      </c>
    </row>
    <row r="87">
      <c r="A87" s="28" t="inlineStr">
        <is>
          <t>8961008223063</t>
        </is>
      </c>
      <c r="B87" s="15" t="inlineStr">
        <is>
          <t>NESTLE FRUITA VITALS CHAUNSA 1 L</t>
        </is>
      </c>
      <c r="C87" s="15" t="inlineStr">
        <is>
          <t>Beverages &amp; Juices</t>
        </is>
      </c>
      <c r="D87" s="15" t="inlineStr">
        <is>
          <t>Drink</t>
        </is>
      </c>
      <c r="E87" s="18" t="n">
        <v>341</v>
      </c>
      <c r="F87" s="18" t="n">
        <v>400</v>
      </c>
      <c r="G87" s="18">
        <f>F87-E87</f>
        <v/>
      </c>
      <c r="H87" s="29" t="n">
        <v>20</v>
      </c>
      <c r="I87" s="18">
        <f>E87*H87</f>
        <v/>
      </c>
      <c r="J87" s="18">
        <f>F87*H87</f>
        <v/>
      </c>
      <c r="K87" s="28">
        <f>IF(H87&lt;=0, "Out of Stock", IF(H87&lt;=5, "Low Stock", "In Stock"))</f>
        <v/>
      </c>
      <c r="L87" s="28" t="inlineStr">
        <is>
          <t>2025-07-15 05:40 PM</t>
        </is>
      </c>
    </row>
    <row r="88">
      <c r="A88" s="26" t="inlineStr">
        <is>
          <t>8961008223513</t>
        </is>
      </c>
      <c r="B88" s="10" t="inlineStr">
        <is>
          <t>NESTLE FRUITA VITALS MANGO 200M</t>
        </is>
      </c>
      <c r="C88" s="10" t="inlineStr">
        <is>
          <t>Beverages &amp; Juices</t>
        </is>
      </c>
      <c r="D88" s="10" t="inlineStr">
        <is>
          <t>Drink</t>
        </is>
      </c>
      <c r="E88" s="13" t="n">
        <v>62</v>
      </c>
      <c r="F88" s="13" t="n">
        <v>80</v>
      </c>
      <c r="G88" s="13">
        <f>F88-E88</f>
        <v/>
      </c>
      <c r="H88" s="27" t="n">
        <v>40</v>
      </c>
      <c r="I88" s="13">
        <f>E88*H88</f>
        <v/>
      </c>
      <c r="J88" s="13">
        <f>F88*H88</f>
        <v/>
      </c>
      <c r="K88" s="26">
        <f>IF(H88&lt;=0, "Out of Stock", IF(H88&lt;=5, "Low Stock", "In Stock"))</f>
        <v/>
      </c>
      <c r="L88" s="26" t="inlineStr">
        <is>
          <t>2025-07-17 03:16 PM</t>
        </is>
      </c>
    </row>
    <row r="89">
      <c r="A89" s="28" t="inlineStr">
        <is>
          <t>8961008223087</t>
        </is>
      </c>
      <c r="B89" s="15" t="inlineStr">
        <is>
          <t>NESTLE FRUITA VITALS PEACH 1 LTR</t>
        </is>
      </c>
      <c r="C89" s="15" t="inlineStr">
        <is>
          <t>Beverages &amp; Juices</t>
        </is>
      </c>
      <c r="D89" s="15" t="inlineStr">
        <is>
          <t>Drink</t>
        </is>
      </c>
      <c r="E89" s="18" t="n">
        <v>341</v>
      </c>
      <c r="F89" s="18" t="n">
        <v>400</v>
      </c>
      <c r="G89" s="18">
        <f>F89-E89</f>
        <v/>
      </c>
      <c r="H89" s="29" t="n">
        <v>2</v>
      </c>
      <c r="I89" s="18">
        <f>E89*H89</f>
        <v/>
      </c>
      <c r="J89" s="18">
        <f>F89*H89</f>
        <v/>
      </c>
      <c r="K89" s="28">
        <f>IF(H89&lt;=0, "Out of Stock", IF(H89&lt;=5, "Low Stock", "In Stock"))</f>
        <v/>
      </c>
      <c r="L89" s="28" t="inlineStr">
        <is>
          <t>2025-07-15 05:41 PM</t>
        </is>
      </c>
    </row>
    <row r="90">
      <c r="A90" s="26" t="inlineStr">
        <is>
          <t>8961008223490</t>
        </is>
      </c>
      <c r="B90" s="10" t="inlineStr">
        <is>
          <t>NESTLE FRUITA VITALS PEACH 200ML</t>
        </is>
      </c>
      <c r="C90" s="10" t="inlineStr">
        <is>
          <t>Beverages &amp; Juices</t>
        </is>
      </c>
      <c r="D90" s="10" t="inlineStr">
        <is>
          <t>Drink</t>
        </is>
      </c>
      <c r="E90" s="13" t="n">
        <v>63</v>
      </c>
      <c r="F90" s="13" t="n">
        <v>80</v>
      </c>
      <c r="G90" s="13">
        <f>F90-E90</f>
        <v/>
      </c>
      <c r="H90" s="27" t="n">
        <v>34</v>
      </c>
      <c r="I90" s="13">
        <f>E90*H90</f>
        <v/>
      </c>
      <c r="J90" s="13">
        <f>F90*H90</f>
        <v/>
      </c>
      <c r="K90" s="26">
        <f>IF(H90&lt;=0, "Out of Stock", IF(H90&lt;=5, "Low Stock", "In Stock"))</f>
        <v/>
      </c>
      <c r="L90" s="26" t="inlineStr">
        <is>
          <t>2025-07-17 03:27 PM</t>
        </is>
      </c>
    </row>
    <row r="91">
      <c r="A91" s="28" t="inlineStr">
        <is>
          <t>8961008212289</t>
        </is>
      </c>
      <c r="B91" s="15" t="inlineStr">
        <is>
          <t>NESTLE WATER 1.5 LTR</t>
        </is>
      </c>
      <c r="C91" s="15" t="inlineStr">
        <is>
          <t>Beverages &amp; Juices</t>
        </is>
      </c>
      <c r="D91" s="15" t="inlineStr">
        <is>
          <t>Drink</t>
        </is>
      </c>
      <c r="E91" s="18" t="n">
        <v>75</v>
      </c>
      <c r="F91" s="18" t="n">
        <v>100</v>
      </c>
      <c r="G91" s="18">
        <f>F91-E91</f>
        <v/>
      </c>
      <c r="H91" s="29" t="n">
        <v>55</v>
      </c>
      <c r="I91" s="18">
        <f>E91*H91</f>
        <v/>
      </c>
      <c r="J91" s="18">
        <f>F91*H91</f>
        <v/>
      </c>
      <c r="K91" s="28">
        <f>IF(H91&lt;=0, "Out of Stock", IF(H91&lt;=5, "Low Stock", "In Stock"))</f>
        <v/>
      </c>
      <c r="L91" s="28" t="inlineStr">
        <is>
          <t>2025-07-14 07:59 AM</t>
        </is>
      </c>
    </row>
    <row r="92">
      <c r="A92" s="26" t="inlineStr">
        <is>
          <t>PROD-20250718-152227-NEW</t>
        </is>
      </c>
      <c r="B92" s="10" t="inlineStr">
        <is>
          <t>NOSHLE PULPY</t>
        </is>
      </c>
      <c r="C92" s="10" t="inlineStr">
        <is>
          <t>Beverages &amp; Juices</t>
        </is>
      </c>
      <c r="D92" s="10" t="inlineStr">
        <is>
          <t>Drink</t>
        </is>
      </c>
      <c r="E92" s="13" t="n">
        <v>71</v>
      </c>
      <c r="F92" s="13" t="n">
        <v>100</v>
      </c>
      <c r="G92" s="13">
        <f>F92-E92</f>
        <v/>
      </c>
      <c r="H92" s="27" t="n">
        <v>5</v>
      </c>
      <c r="I92" s="13">
        <f>E92*H92</f>
        <v/>
      </c>
      <c r="J92" s="13">
        <f>F92*H92</f>
        <v/>
      </c>
      <c r="K92" s="26">
        <f>IF(H92&lt;=0, "Out of Stock", IF(H92&lt;=5, "Low Stock", "In Stock"))</f>
        <v/>
      </c>
      <c r="L92" s="26" t="inlineStr">
        <is>
          <t>2025-07-18 10:23 AM</t>
        </is>
      </c>
    </row>
    <row r="93">
      <c r="A93" s="28" t="inlineStr">
        <is>
          <t>8964002706310</t>
        </is>
      </c>
      <c r="B93" s="15" t="inlineStr">
        <is>
          <t>OLPER,S BADAM ZF MILK</t>
        </is>
      </c>
      <c r="C93" s="15" t="inlineStr">
        <is>
          <t>Beverages &amp; Juices</t>
        </is>
      </c>
      <c r="D93" s="15" t="inlineStr">
        <is>
          <t>Drink</t>
        </is>
      </c>
      <c r="E93" s="18" t="n">
        <v>84</v>
      </c>
      <c r="F93" s="18" t="n">
        <v>100</v>
      </c>
      <c r="G93" s="18">
        <f>F93-E93</f>
        <v/>
      </c>
      <c r="H93" s="29" t="n">
        <v>10</v>
      </c>
      <c r="I93" s="18">
        <f>E93*H93</f>
        <v/>
      </c>
      <c r="J93" s="18">
        <f>F93*H93</f>
        <v/>
      </c>
      <c r="K93" s="28">
        <f>IF(H93&lt;=0, "Out of Stock", IF(H93&lt;=5, "Low Stock", "In Stock"))</f>
        <v/>
      </c>
      <c r="L93" s="28" t="inlineStr">
        <is>
          <t>2025-07-16 07:20 PM</t>
        </is>
      </c>
    </row>
    <row r="94">
      <c r="A94" s="26" t="inlineStr">
        <is>
          <t>8964002706167</t>
        </is>
      </c>
      <c r="B94" s="10" t="inlineStr">
        <is>
          <t>OLPER,S STRABERRY 180ML</t>
        </is>
      </c>
      <c r="C94" s="10" t="inlineStr">
        <is>
          <t>Beverages &amp; Juices</t>
        </is>
      </c>
      <c r="D94" s="10" t="inlineStr">
        <is>
          <t>Drink</t>
        </is>
      </c>
      <c r="E94" s="13" t="n">
        <v>84</v>
      </c>
      <c r="F94" s="13" t="n">
        <v>100</v>
      </c>
      <c r="G94" s="13">
        <f>F94-E94</f>
        <v/>
      </c>
      <c r="H94" s="27" t="n">
        <v>4</v>
      </c>
      <c r="I94" s="13">
        <f>E94*H94</f>
        <v/>
      </c>
      <c r="J94" s="13">
        <f>F94*H94</f>
        <v/>
      </c>
      <c r="K94" s="26">
        <f>IF(H94&lt;=0, "Out of Stock", IF(H94&lt;=5, "Low Stock", "In Stock"))</f>
        <v/>
      </c>
      <c r="L94" s="26" t="inlineStr">
        <is>
          <t>2025-07-16 07:19 PM</t>
        </is>
      </c>
    </row>
    <row r="95">
      <c r="A95" s="28" t="inlineStr">
        <is>
          <t>1860236002044</t>
        </is>
      </c>
      <c r="B95" s="15" t="inlineStr">
        <is>
          <t>PEACH MALT NON ALCOHOLIC</t>
        </is>
      </c>
      <c r="C95" s="15" t="inlineStr">
        <is>
          <t>Beverages &amp; Juices</t>
        </is>
      </c>
      <c r="D95" s="15" t="inlineStr">
        <is>
          <t>Drink</t>
        </is>
      </c>
      <c r="E95" s="18" t="n">
        <v>72.67</v>
      </c>
      <c r="F95" s="18" t="n">
        <v>90</v>
      </c>
      <c r="G95" s="18">
        <f>F95-E95</f>
        <v/>
      </c>
      <c r="H95" s="29" t="n">
        <v>198</v>
      </c>
      <c r="I95" s="18">
        <f>E95*H95</f>
        <v/>
      </c>
      <c r="J95" s="18">
        <f>F95*H95</f>
        <v/>
      </c>
      <c r="K95" s="28">
        <f>IF(H95&lt;=0, "Out of Stock", IF(H95&lt;=5, "Low Stock", "In Stock"))</f>
        <v/>
      </c>
      <c r="L95" s="28" t="inlineStr">
        <is>
          <t>2025-07-14 09:48 AM</t>
        </is>
      </c>
    </row>
    <row r="96">
      <c r="A96" s="26" t="inlineStr">
        <is>
          <t>12000800085</t>
        </is>
      </c>
      <c r="B96" s="10" t="inlineStr">
        <is>
          <t>PEPSI 1.5 LTR</t>
        </is>
      </c>
      <c r="C96" s="10" t="inlineStr">
        <is>
          <t>Beverages &amp; Juices</t>
        </is>
      </c>
      <c r="D96" s="10" t="inlineStr">
        <is>
          <t>Drink</t>
        </is>
      </c>
      <c r="E96" s="13" t="n">
        <v>150</v>
      </c>
      <c r="F96" s="13" t="n">
        <v>200</v>
      </c>
      <c r="G96" s="13">
        <f>F96-E96</f>
        <v/>
      </c>
      <c r="H96" s="27" t="n">
        <v>38</v>
      </c>
      <c r="I96" s="13">
        <f>E96*H96</f>
        <v/>
      </c>
      <c r="J96" s="13">
        <f>F96*H96</f>
        <v/>
      </c>
      <c r="K96" s="26">
        <f>IF(H96&lt;=0, "Out of Stock", IF(H96&lt;=5, "Low Stock", "In Stock"))</f>
        <v/>
      </c>
      <c r="L96" s="26" t="inlineStr">
        <is>
          <t>2025-07-17 10:26 AM</t>
        </is>
      </c>
    </row>
    <row r="97">
      <c r="A97" s="28" t="inlineStr">
        <is>
          <t>8964001179467</t>
        </is>
      </c>
      <c r="B97" s="15" t="inlineStr">
        <is>
          <t>RANGO NEXT 1.5 LTR</t>
        </is>
      </c>
      <c r="C97" s="15" t="inlineStr">
        <is>
          <t>Beverages &amp; Juices</t>
        </is>
      </c>
      <c r="D97" s="15" t="inlineStr">
        <is>
          <t>Drink</t>
        </is>
      </c>
      <c r="E97" s="18" t="n">
        <v>142</v>
      </c>
      <c r="F97" s="18" t="n">
        <v>170</v>
      </c>
      <c r="G97" s="18">
        <f>F97-E97</f>
        <v/>
      </c>
      <c r="H97" s="29" t="n">
        <v>2</v>
      </c>
      <c r="I97" s="18">
        <f>E97*H97</f>
        <v/>
      </c>
      <c r="J97" s="18">
        <f>F97*H97</f>
        <v/>
      </c>
      <c r="K97" s="28">
        <f>IF(H97&lt;=0, "Out of Stock", IF(H97&lt;=5, "Low Stock", "In Stock"))</f>
        <v/>
      </c>
      <c r="L97" s="28" t="inlineStr">
        <is>
          <t>2025-07-17 10:42 AM</t>
        </is>
      </c>
    </row>
    <row r="98">
      <c r="A98" s="26" t="inlineStr">
        <is>
          <t>8964002874385</t>
        </is>
      </c>
      <c r="B98" s="10" t="inlineStr">
        <is>
          <t>RANIA ORANGE</t>
        </is>
      </c>
      <c r="C98" s="10" t="inlineStr">
        <is>
          <t>Beverages &amp; Juices</t>
        </is>
      </c>
      <c r="D98" s="10" t="inlineStr">
        <is>
          <t>Drink</t>
        </is>
      </c>
      <c r="E98" s="13" t="n">
        <v>83</v>
      </c>
      <c r="F98" s="13" t="n">
        <v>130</v>
      </c>
      <c r="G98" s="13">
        <f>F98-E98</f>
        <v/>
      </c>
      <c r="H98" s="27" t="n">
        <v>22</v>
      </c>
      <c r="I98" s="13">
        <f>E98*H98</f>
        <v/>
      </c>
      <c r="J98" s="13">
        <f>F98*H98</f>
        <v/>
      </c>
      <c r="K98" s="26">
        <f>IF(H98&lt;=0, "Out of Stock", IF(H98&lt;=5, "Low Stock", "In Stock"))</f>
        <v/>
      </c>
      <c r="L98" s="26" t="inlineStr">
        <is>
          <t>2025-07-17 01:13 PM</t>
        </is>
      </c>
    </row>
    <row r="99">
      <c r="A99" s="28" t="inlineStr">
        <is>
          <t>8964002997916</t>
        </is>
      </c>
      <c r="B99" s="15" t="inlineStr">
        <is>
          <t>RANIU PEACH</t>
        </is>
      </c>
      <c r="C99" s="15" t="inlineStr">
        <is>
          <t>Beverages &amp; Juices</t>
        </is>
      </c>
      <c r="D99" s="15" t="inlineStr">
        <is>
          <t>Drink</t>
        </is>
      </c>
      <c r="E99" s="18" t="n">
        <v>83.8</v>
      </c>
      <c r="F99" s="18" t="n">
        <v>130</v>
      </c>
      <c r="G99" s="18">
        <f>F99-E99</f>
        <v/>
      </c>
      <c r="H99" s="29" t="n">
        <v>24</v>
      </c>
      <c r="I99" s="18">
        <f>E99*H99</f>
        <v/>
      </c>
      <c r="J99" s="18">
        <f>F99*H99</f>
        <v/>
      </c>
      <c r="K99" s="28">
        <f>IF(H99&lt;=0, "Out of Stock", IF(H99&lt;=5, "Low Stock", "In Stock"))</f>
        <v/>
      </c>
      <c r="L99" s="28" t="inlineStr">
        <is>
          <t>2025-07-17 01:12 PM</t>
        </is>
      </c>
    </row>
    <row r="100">
      <c r="A100" s="26" t="inlineStr">
        <is>
          <t>9231142840105</t>
        </is>
      </c>
      <c r="B100" s="10" t="inlineStr">
        <is>
          <t>SIP SLICE MANGO</t>
        </is>
      </c>
      <c r="C100" s="10" t="inlineStr">
        <is>
          <t>Beverages &amp; Juices</t>
        </is>
      </c>
      <c r="D100" s="10" t="inlineStr">
        <is>
          <t>Drink</t>
        </is>
      </c>
      <c r="E100" s="13" t="n">
        <v>25</v>
      </c>
      <c r="F100" s="13" t="n">
        <v>50</v>
      </c>
      <c r="G100" s="13">
        <f>F100-E100</f>
        <v/>
      </c>
      <c r="H100" s="27" t="n">
        <v>0</v>
      </c>
      <c r="I100" s="13">
        <f>E100*H100</f>
        <v/>
      </c>
      <c r="J100" s="13">
        <f>F100*H100</f>
        <v/>
      </c>
      <c r="K100" s="26">
        <f>IF(H100&lt;=0, "Out of Stock", IF(H100&lt;=5, "Low Stock", "In Stock"))</f>
        <v/>
      </c>
      <c r="L100" s="26" t="inlineStr">
        <is>
          <t>2025-07-14 07:47 AM</t>
        </is>
      </c>
    </row>
    <row r="101">
      <c r="A101" s="28" t="inlineStr">
        <is>
          <t>8964000101957</t>
        </is>
      </c>
      <c r="B101" s="15" t="inlineStr">
        <is>
          <t>SLICE MANGO</t>
        </is>
      </c>
      <c r="C101" s="15" t="inlineStr">
        <is>
          <t>Beverages &amp; Juices</t>
        </is>
      </c>
      <c r="D101" s="15" t="inlineStr">
        <is>
          <t>Drink</t>
        </is>
      </c>
      <c r="E101" s="18" t="n">
        <v>35</v>
      </c>
      <c r="F101" s="18" t="n">
        <v>60</v>
      </c>
      <c r="G101" s="18">
        <f>F101-E101</f>
        <v/>
      </c>
      <c r="H101" s="29" t="n">
        <v>18</v>
      </c>
      <c r="I101" s="18">
        <f>E101*H101</f>
        <v/>
      </c>
      <c r="J101" s="18">
        <f>F101*H101</f>
        <v/>
      </c>
      <c r="K101" s="28">
        <f>IF(H101&lt;=0, "Out of Stock", IF(H101&lt;=5, "Low Stock", "In Stock"))</f>
        <v/>
      </c>
      <c r="L101" s="28" t="inlineStr">
        <is>
          <t>2025-07-14 07:53 AM</t>
        </is>
      </c>
    </row>
    <row r="102">
      <c r="A102" s="26" t="inlineStr">
        <is>
          <t>5449000000729</t>
        </is>
      </c>
      <c r="B102" s="10" t="inlineStr">
        <is>
          <t>SPRITE CAN LEMON</t>
        </is>
      </c>
      <c r="C102" s="10" t="inlineStr">
        <is>
          <t>Beverages &amp; Juices</t>
        </is>
      </c>
      <c r="D102" s="10" t="inlineStr">
        <is>
          <t>Drink</t>
        </is>
      </c>
      <c r="E102" s="13" t="n">
        <v>98</v>
      </c>
      <c r="F102" s="13" t="n">
        <v>120</v>
      </c>
      <c r="G102" s="13">
        <f>F102-E102</f>
        <v/>
      </c>
      <c r="H102" s="27" t="n">
        <v>44</v>
      </c>
      <c r="I102" s="13">
        <f>E102*H102</f>
        <v/>
      </c>
      <c r="J102" s="13">
        <f>F102*H102</f>
        <v/>
      </c>
      <c r="K102" s="26">
        <f>IF(H102&lt;=0, "Out of Stock", IF(H102&lt;=5, "Low Stock", "In Stock"))</f>
        <v/>
      </c>
      <c r="L102" s="26" t="inlineStr">
        <is>
          <t>2025-07-17 03:06 PM</t>
        </is>
      </c>
    </row>
    <row r="103">
      <c r="A103" s="28" t="inlineStr">
        <is>
          <t>5449000012203</t>
        </is>
      </c>
      <c r="B103" s="15" t="inlineStr">
        <is>
          <t>SPRITE LEMON -LIME 1.5 LTR</t>
        </is>
      </c>
      <c r="C103" s="15" t="inlineStr">
        <is>
          <t>Beverages &amp; Juices</t>
        </is>
      </c>
      <c r="D103" s="15" t="inlineStr">
        <is>
          <t>Drink</t>
        </is>
      </c>
      <c r="E103" s="18" t="n">
        <v>143</v>
      </c>
      <c r="F103" s="18" t="n">
        <v>200</v>
      </c>
      <c r="G103" s="18">
        <f>F103-E103</f>
        <v/>
      </c>
      <c r="H103" s="29" t="n">
        <v>39</v>
      </c>
      <c r="I103" s="18">
        <f>E103*H103</f>
        <v/>
      </c>
      <c r="J103" s="18">
        <f>F103*H103</f>
        <v/>
      </c>
      <c r="K103" s="28">
        <f>IF(H103&lt;=0, "Out of Stock", IF(H103&lt;=5, "Low Stock", "In Stock"))</f>
        <v/>
      </c>
      <c r="L103" s="28" t="inlineStr">
        <is>
          <t>2025-07-31 03:15 PM</t>
        </is>
      </c>
    </row>
    <row r="104">
      <c r="A104" s="26" t="inlineStr">
        <is>
          <t>40822099</t>
        </is>
      </c>
      <c r="B104" s="10" t="inlineStr">
        <is>
          <t>SPRITE LEMON LIME 350ML</t>
        </is>
      </c>
      <c r="C104" s="10" t="inlineStr">
        <is>
          <t>Beverages &amp; Juices</t>
        </is>
      </c>
      <c r="D104" s="10" t="inlineStr">
        <is>
          <t>Drink</t>
        </is>
      </c>
      <c r="E104" s="13" t="n">
        <v>62.44</v>
      </c>
      <c r="F104" s="13" t="n">
        <v>90</v>
      </c>
      <c r="G104" s="13">
        <f>F104-E104</f>
        <v/>
      </c>
      <c r="H104" s="27" t="n">
        <v>96</v>
      </c>
      <c r="I104" s="13">
        <f>E104*H104</f>
        <v/>
      </c>
      <c r="J104" s="13">
        <f>F104*H104</f>
        <v/>
      </c>
      <c r="K104" s="26">
        <f>IF(H104&lt;=0, "Out of Stock", IF(H104&lt;=5, "Low Stock", "In Stock"))</f>
        <v/>
      </c>
      <c r="L104" s="26" t="inlineStr">
        <is>
          <t>2025-07-17 06:54 PM</t>
        </is>
      </c>
    </row>
    <row r="105">
      <c r="A105" s="28" t="inlineStr">
        <is>
          <t>54491069</t>
        </is>
      </c>
      <c r="B105" s="15" t="inlineStr">
        <is>
          <t>SPRITE LEMON LIME 500 ML</t>
        </is>
      </c>
      <c r="C105" s="15" t="inlineStr">
        <is>
          <t>Beverages &amp; Juices</t>
        </is>
      </c>
      <c r="D105" s="15" t="inlineStr">
        <is>
          <t>Drink</t>
        </is>
      </c>
      <c r="E105" s="18" t="n">
        <v>87</v>
      </c>
      <c r="F105" s="18" t="n">
        <v>120</v>
      </c>
      <c r="G105" s="18">
        <f>F105-E105</f>
        <v/>
      </c>
      <c r="H105" s="29" t="n">
        <v>80</v>
      </c>
      <c r="I105" s="18">
        <f>E105*H105</f>
        <v/>
      </c>
      <c r="J105" s="18">
        <f>F105*H105</f>
        <v/>
      </c>
      <c r="K105" s="28">
        <f>IF(H105&lt;=0, "Out of Stock", IF(H105&lt;=5, "Low Stock", "In Stock"))</f>
        <v/>
      </c>
      <c r="L105" s="28" t="inlineStr">
        <is>
          <t>2025-07-26 11:07 AM</t>
        </is>
      </c>
    </row>
    <row r="106">
      <c r="A106" s="26" t="inlineStr">
        <is>
          <t>5449000050939</t>
        </is>
      </c>
      <c r="B106" s="10" t="inlineStr">
        <is>
          <t>SPRITE LEMON-LIME 1 LTR</t>
        </is>
      </c>
      <c r="C106" s="10" t="inlineStr">
        <is>
          <t>Beverages &amp; Juices</t>
        </is>
      </c>
      <c r="D106" s="10" t="inlineStr">
        <is>
          <t>Drink</t>
        </is>
      </c>
      <c r="E106" s="13" t="n">
        <v>130</v>
      </c>
      <c r="F106" s="13" t="n">
        <v>150</v>
      </c>
      <c r="G106" s="13">
        <f>F106-E106</f>
        <v/>
      </c>
      <c r="H106" s="27" t="n">
        <v>59</v>
      </c>
      <c r="I106" s="13">
        <f>E106*H106</f>
        <v/>
      </c>
      <c r="J106" s="13">
        <f>F106*H106</f>
        <v/>
      </c>
      <c r="K106" s="26">
        <f>IF(H106&lt;=0, "Out of Stock", IF(H106&lt;=5, "Low Stock", "In Stock"))</f>
        <v/>
      </c>
      <c r="L106" s="26" t="inlineStr">
        <is>
          <t>2025-07-17 06:32 PM</t>
        </is>
      </c>
    </row>
    <row r="107">
      <c r="A107" s="28" t="inlineStr">
        <is>
          <t>5449000004864</t>
        </is>
      </c>
      <c r="B107" s="15" t="inlineStr">
        <is>
          <t>SPRITE LEMON-LIME 2 LTR</t>
        </is>
      </c>
      <c r="C107" s="15" t="inlineStr">
        <is>
          <t>Beverages &amp; Juices</t>
        </is>
      </c>
      <c r="D107" s="15" t="inlineStr">
        <is>
          <t>Drink</t>
        </is>
      </c>
      <c r="E107" s="18" t="n">
        <v>173</v>
      </c>
      <c r="F107" s="18" t="n">
        <v>250</v>
      </c>
      <c r="G107" s="18">
        <f>F107-E107</f>
        <v/>
      </c>
      <c r="H107" s="29" t="n">
        <v>55</v>
      </c>
      <c r="I107" s="18">
        <f>E107*H107</f>
        <v/>
      </c>
      <c r="J107" s="18">
        <f>F107*H107</f>
        <v/>
      </c>
      <c r="K107" s="28">
        <f>IF(H107&lt;=0, "Out of Stock", IF(H107&lt;=5, "Low Stock", "In Stock"))</f>
        <v/>
      </c>
      <c r="L107" s="28" t="inlineStr">
        <is>
          <t>2025-07-17 06:37 PM</t>
        </is>
      </c>
    </row>
    <row r="108">
      <c r="A108" s="26" t="inlineStr">
        <is>
          <t>5449000216854</t>
        </is>
      </c>
      <c r="B108" s="10" t="inlineStr">
        <is>
          <t>SPRITE MINT LEMON -LIME 1.5 LTR</t>
        </is>
      </c>
      <c r="C108" s="10" t="inlineStr">
        <is>
          <t>Beverages &amp; Juices</t>
        </is>
      </c>
      <c r="D108" s="10" t="inlineStr">
        <is>
          <t>Drink</t>
        </is>
      </c>
      <c r="E108" s="13" t="n">
        <v>143</v>
      </c>
      <c r="F108" s="13" t="n">
        <v>200</v>
      </c>
      <c r="G108" s="13">
        <f>F108-E108</f>
        <v/>
      </c>
      <c r="H108" s="27" t="n">
        <v>68</v>
      </c>
      <c r="I108" s="13">
        <f>E108*H108</f>
        <v/>
      </c>
      <c r="J108" s="13">
        <f>F108*H108</f>
        <v/>
      </c>
      <c r="K108" s="26">
        <f>IF(H108&lt;=0, "Out of Stock", IF(H108&lt;=5, "Low Stock", "In Stock"))</f>
        <v/>
      </c>
      <c r="L108" s="26" t="inlineStr">
        <is>
          <t>2025-07-17 06:34 PM</t>
        </is>
      </c>
    </row>
    <row r="109">
      <c r="A109" s="28" t="inlineStr">
        <is>
          <t>5449000334473</t>
        </is>
      </c>
      <c r="B109" s="15" t="inlineStr">
        <is>
          <t>SPRITE MINT LEMON -LIME 2 LTR</t>
        </is>
      </c>
      <c r="C109" s="15" t="inlineStr">
        <is>
          <t>Beverages &amp; Juices</t>
        </is>
      </c>
      <c r="D109" s="15" t="inlineStr">
        <is>
          <t>Drink</t>
        </is>
      </c>
      <c r="E109" s="18" t="n">
        <v>164</v>
      </c>
      <c r="F109" s="18" t="n">
        <v>250</v>
      </c>
      <c r="G109" s="18">
        <f>F109-E109</f>
        <v/>
      </c>
      <c r="H109" s="29" t="n">
        <v>85</v>
      </c>
      <c r="I109" s="18">
        <f>E109*H109</f>
        <v/>
      </c>
      <c r="J109" s="18">
        <f>F109*H109</f>
        <v/>
      </c>
      <c r="K109" s="28">
        <f>IF(H109&lt;=0, "Out of Stock", IF(H109&lt;=5, "Low Stock", "In Stock"))</f>
        <v/>
      </c>
      <c r="L109" s="28" t="inlineStr">
        <is>
          <t>2025-07-17 06:36 PM</t>
        </is>
      </c>
    </row>
    <row r="110">
      <c r="A110" s="26" t="inlineStr">
        <is>
          <t>5449000283467</t>
        </is>
      </c>
      <c r="B110" s="10" t="inlineStr">
        <is>
          <t>SPRITE MINT LEMON -LIME 350 ML</t>
        </is>
      </c>
      <c r="C110" s="10" t="inlineStr">
        <is>
          <t>Beverages &amp; Juices</t>
        </is>
      </c>
      <c r="D110" s="10" t="inlineStr">
        <is>
          <t>Drink</t>
        </is>
      </c>
      <c r="E110" s="13" t="n">
        <v>61.29</v>
      </c>
      <c r="F110" s="13" t="n">
        <v>90</v>
      </c>
      <c r="G110" s="13">
        <f>F110-E110</f>
        <v/>
      </c>
      <c r="H110" s="27" t="n">
        <v>79</v>
      </c>
      <c r="I110" s="13">
        <f>E110*H110</f>
        <v/>
      </c>
      <c r="J110" s="13">
        <f>F110*H110</f>
        <v/>
      </c>
      <c r="K110" s="26">
        <f>IF(H110&lt;=0, "Out of Stock", IF(H110&lt;=5, "Low Stock", "In Stock"))</f>
        <v/>
      </c>
      <c r="L110" s="26" t="inlineStr">
        <is>
          <t>2025-07-17 07:08 PM</t>
        </is>
      </c>
    </row>
    <row r="111">
      <c r="A111" s="28" t="inlineStr">
        <is>
          <t>5449000253736</t>
        </is>
      </c>
      <c r="B111" s="15" t="inlineStr">
        <is>
          <t>SPRITE MINT LEMON -LIME 500ML</t>
        </is>
      </c>
      <c r="C111" s="15" t="inlineStr">
        <is>
          <t>Beverages &amp; Juices</t>
        </is>
      </c>
      <c r="D111" s="15" t="inlineStr">
        <is>
          <t>Drink</t>
        </is>
      </c>
      <c r="E111" s="18" t="n">
        <v>87.62</v>
      </c>
      <c r="F111" s="18" t="n">
        <v>120</v>
      </c>
      <c r="G111" s="18">
        <f>F111-E111</f>
        <v/>
      </c>
      <c r="H111" s="29" t="n">
        <v>88</v>
      </c>
      <c r="I111" s="18">
        <f>E111*H111</f>
        <v/>
      </c>
      <c r="J111" s="18">
        <f>F111*H111</f>
        <v/>
      </c>
      <c r="K111" s="28">
        <f>IF(H111&lt;=0, "Out of Stock", IF(H111&lt;=5, "Low Stock", "In Stock"))</f>
        <v/>
      </c>
      <c r="L111" s="28" t="inlineStr">
        <is>
          <t>2025-07-17 06:59 PM</t>
        </is>
      </c>
    </row>
    <row r="112">
      <c r="A112" s="26" t="inlineStr">
        <is>
          <t>8964000101551</t>
        </is>
      </c>
      <c r="B112" s="10" t="inlineStr">
        <is>
          <t>STING 300ML</t>
        </is>
      </c>
      <c r="C112" s="10" t="inlineStr">
        <is>
          <t>Beverages &amp; Juices</t>
        </is>
      </c>
      <c r="D112" s="10" t="inlineStr">
        <is>
          <t>Drink</t>
        </is>
      </c>
      <c r="E112" s="13" t="n">
        <v>71</v>
      </c>
      <c r="F112" s="13" t="n">
        <v>90</v>
      </c>
      <c r="G112" s="13">
        <f>F112-E112</f>
        <v/>
      </c>
      <c r="H112" s="27" t="n">
        <v>122</v>
      </c>
      <c r="I112" s="13">
        <f>E112*H112</f>
        <v/>
      </c>
      <c r="J112" s="13">
        <f>F112*H112</f>
        <v/>
      </c>
      <c r="K112" s="26">
        <f>IF(H112&lt;=0, "Out of Stock", IF(H112&lt;=5, "Low Stock", "In Stock"))</f>
        <v/>
      </c>
      <c r="L112" s="26" t="inlineStr">
        <is>
          <t>2025-07-13 02:39 PM</t>
        </is>
      </c>
    </row>
    <row r="113">
      <c r="A113" s="28" t="inlineStr">
        <is>
          <t>8964000101704</t>
        </is>
      </c>
      <c r="B113" s="15" t="inlineStr">
        <is>
          <t>STING 500ML</t>
        </is>
      </c>
      <c r="C113" s="15" t="inlineStr">
        <is>
          <t>Beverages &amp; Juices</t>
        </is>
      </c>
      <c r="D113" s="15" t="inlineStr">
        <is>
          <t>Drink</t>
        </is>
      </c>
      <c r="E113" s="18" t="n">
        <v>98.5</v>
      </c>
      <c r="F113" s="18" t="n">
        <v>120</v>
      </c>
      <c r="G113" s="18">
        <f>F113-E113</f>
        <v/>
      </c>
      <c r="H113" s="29" t="n">
        <v>148</v>
      </c>
      <c r="I113" s="18">
        <f>E113*H113</f>
        <v/>
      </c>
      <c r="J113" s="18">
        <f>F113*H113</f>
        <v/>
      </c>
      <c r="K113" s="28">
        <f>IF(H113&lt;=0, "Out of Stock", IF(H113&lt;=5, "Low Stock", "In Stock"))</f>
        <v/>
      </c>
      <c r="L113" s="28" t="inlineStr">
        <is>
          <t>2025-07-13 07:32 PM</t>
        </is>
      </c>
    </row>
    <row r="114">
      <c r="A114" s="26" t="inlineStr">
        <is>
          <t>5904003285561</t>
        </is>
      </c>
      <c r="B114" s="10" t="inlineStr">
        <is>
          <t>TIGER ENERGY DRINK</t>
        </is>
      </c>
      <c r="C114" s="10" t="inlineStr">
        <is>
          <t>Beverages &amp; Juices</t>
        </is>
      </c>
      <c r="D114" s="10" t="inlineStr">
        <is>
          <t>Drink</t>
        </is>
      </c>
      <c r="E114" s="13" t="n">
        <v>94</v>
      </c>
      <c r="F114" s="13" t="n">
        <v>120</v>
      </c>
      <c r="G114" s="13">
        <f>F114-E114</f>
        <v/>
      </c>
      <c r="H114" s="27" t="n">
        <v>10</v>
      </c>
      <c r="I114" s="13">
        <f>E114*H114</f>
        <v/>
      </c>
      <c r="J114" s="13">
        <f>F114*H114</f>
        <v/>
      </c>
      <c r="K114" s="26">
        <f>IF(H114&lt;=0, "Out of Stock", IF(H114&lt;=5, "Low Stock", "In Stock"))</f>
        <v/>
      </c>
      <c r="L114" s="26" t="inlineStr">
        <is>
          <t>2025-07-17 01:19 PM</t>
        </is>
      </c>
    </row>
    <row r="115">
      <c r="A115" s="28" t="inlineStr">
        <is>
          <t>2020042410108</t>
        </is>
      </c>
      <c r="B115" s="15" t="inlineStr">
        <is>
          <t>TOPS MANGO</t>
        </is>
      </c>
      <c r="C115" s="15" t="inlineStr">
        <is>
          <t>Beverages &amp; Juices</t>
        </is>
      </c>
      <c r="D115" s="15" t="inlineStr">
        <is>
          <t>Drink</t>
        </is>
      </c>
      <c r="E115" s="18" t="n">
        <v>82</v>
      </c>
      <c r="F115" s="18" t="n">
        <v>100</v>
      </c>
      <c r="G115" s="18">
        <f>F115-E115</f>
        <v/>
      </c>
      <c r="H115" s="29" t="n">
        <v>64</v>
      </c>
      <c r="I115" s="18">
        <f>E115*H115</f>
        <v/>
      </c>
      <c r="J115" s="18">
        <f>F115*H115</f>
        <v/>
      </c>
      <c r="K115" s="28">
        <f>IF(H115&lt;=0, "Out of Stock", IF(H115&lt;=5, "Low Stock", "In Stock"))</f>
        <v/>
      </c>
      <c r="L115" s="28" t="inlineStr">
        <is>
          <t>2025-07-14 03:09 PM</t>
        </is>
      </c>
    </row>
    <row r="116">
      <c r="A116" s="26" t="inlineStr">
        <is>
          <t>110219995340001</t>
        </is>
      </c>
      <c r="B116" s="10" t="inlineStr">
        <is>
          <t>WATER 500ML LIFE,S SSPRING</t>
        </is>
      </c>
      <c r="C116" s="10" t="inlineStr">
        <is>
          <t>Beverages &amp; Juices</t>
        </is>
      </c>
      <c r="D116" s="10" t="inlineStr">
        <is>
          <t>Drink</t>
        </is>
      </c>
      <c r="E116" s="13" t="n">
        <v>30</v>
      </c>
      <c r="F116" s="13" t="n">
        <v>50</v>
      </c>
      <c r="G116" s="13">
        <f>F116-E116</f>
        <v/>
      </c>
      <c r="H116" s="27" t="n">
        <v>17</v>
      </c>
      <c r="I116" s="13">
        <f>E116*H116</f>
        <v/>
      </c>
      <c r="J116" s="13">
        <f>F116*H116</f>
        <v/>
      </c>
      <c r="K116" s="26">
        <f>IF(H116&lt;=0, "Out of Stock", IF(H116&lt;=5, "Low Stock", "In Stock"))</f>
        <v/>
      </c>
      <c r="L116" s="26" t="inlineStr">
        <is>
          <t>2025-07-14 07:56 AM</t>
        </is>
      </c>
    </row>
    <row r="117">
      <c r="A117" s="28" t="inlineStr">
        <is>
          <t>6263883000039</t>
        </is>
      </c>
      <c r="B117" s="15" t="inlineStr">
        <is>
          <t>ROJA LIME JUICE</t>
        </is>
      </c>
      <c r="C117" s="15" t="inlineStr">
        <is>
          <t>Beverages &amp; Juices</t>
        </is>
      </c>
      <c r="D117" s="15" t="inlineStr">
        <is>
          <t>Juice</t>
        </is>
      </c>
      <c r="E117" s="18" t="n">
        <v>300</v>
      </c>
      <c r="F117" s="18" t="n">
        <v>450</v>
      </c>
      <c r="G117" s="18">
        <f>F117-E117</f>
        <v/>
      </c>
      <c r="H117" s="29" t="n">
        <v>16</v>
      </c>
      <c r="I117" s="18">
        <f>E117*H117</f>
        <v/>
      </c>
      <c r="J117" s="18">
        <f>F117*H117</f>
        <v/>
      </c>
      <c r="K117" s="28">
        <f>IF(H117&lt;=0, "Out of Stock", IF(H117&lt;=5, "Low Stock", "In Stock"))</f>
        <v/>
      </c>
      <c r="L117" s="28" t="inlineStr">
        <is>
          <t>2025-07-19 05:06 PM</t>
        </is>
      </c>
    </row>
    <row r="118">
      <c r="A118" s="26" t="inlineStr">
        <is>
          <t>8967764662047</t>
        </is>
      </c>
      <c r="B118" s="10" t="inlineStr">
        <is>
          <t>TRASH BAG 18X20</t>
        </is>
      </c>
      <c r="C118" s="10" t="inlineStr">
        <is>
          <t>Bin Plastic</t>
        </is>
      </c>
      <c r="D118" s="10" t="inlineStr">
        <is>
          <t>Bin Plastic</t>
        </is>
      </c>
      <c r="E118" s="13" t="n">
        <v>170</v>
      </c>
      <c r="F118" s="13" t="n">
        <v>230</v>
      </c>
      <c r="G118" s="13">
        <f>F118-E118</f>
        <v/>
      </c>
      <c r="H118" s="27" t="n">
        <v>15</v>
      </c>
      <c r="I118" s="13">
        <f>E118*H118</f>
        <v/>
      </c>
      <c r="J118" s="13">
        <f>F118*H118</f>
        <v/>
      </c>
      <c r="K118" s="26">
        <f>IF(H118&lt;=0, "Out of Stock", IF(H118&lt;=5, "Low Stock", "In Stock"))</f>
        <v/>
      </c>
      <c r="L118" s="26" t="inlineStr">
        <is>
          <t>2025-07-17 09:30 AM</t>
        </is>
      </c>
    </row>
    <row r="119">
      <c r="A119" s="28" t="inlineStr">
        <is>
          <t>8967764662016</t>
        </is>
      </c>
      <c r="B119" s="15" t="inlineStr">
        <is>
          <t>TRASH BAG 18X24</t>
        </is>
      </c>
      <c r="C119" s="15" t="inlineStr">
        <is>
          <t>Bin Plastic</t>
        </is>
      </c>
      <c r="D119" s="15" t="inlineStr">
        <is>
          <t>Bin Plastic</t>
        </is>
      </c>
      <c r="E119" s="18" t="n">
        <v>170</v>
      </c>
      <c r="F119" s="18" t="n">
        <v>230</v>
      </c>
      <c r="G119" s="18">
        <f>F119-E119</f>
        <v/>
      </c>
      <c r="H119" s="29" t="n">
        <v>1</v>
      </c>
      <c r="I119" s="18">
        <f>E119*H119</f>
        <v/>
      </c>
      <c r="J119" s="18">
        <f>F119*H119</f>
        <v/>
      </c>
      <c r="K119" s="28">
        <f>IF(H119&lt;=0, "Out of Stock", IF(H119&lt;=5, "Low Stock", "In Stock"))</f>
        <v/>
      </c>
      <c r="L119" s="28" t="inlineStr">
        <is>
          <t>2025-07-17 09:33 AM</t>
        </is>
      </c>
    </row>
    <row r="120">
      <c r="A120" s="26" t="inlineStr">
        <is>
          <t>8967764662061</t>
        </is>
      </c>
      <c r="B120" s="10" t="inlineStr">
        <is>
          <t>TRASH BAG 28X37</t>
        </is>
      </c>
      <c r="C120" s="10" t="inlineStr">
        <is>
          <t>Bin Plastic</t>
        </is>
      </c>
      <c r="D120" s="10" t="inlineStr">
        <is>
          <t>Bin Plastic</t>
        </is>
      </c>
      <c r="E120" s="13" t="n">
        <v>170</v>
      </c>
      <c r="F120" s="13" t="n">
        <v>230</v>
      </c>
      <c r="G120" s="13">
        <f>F120-E120</f>
        <v/>
      </c>
      <c r="H120" s="27" t="n">
        <v>2</v>
      </c>
      <c r="I120" s="13">
        <f>E120*H120</f>
        <v/>
      </c>
      <c r="J120" s="13">
        <f>F120*H120</f>
        <v/>
      </c>
      <c r="K120" s="26">
        <f>IF(H120&lt;=0, "Out of Stock", IF(H120&lt;=5, "Low Stock", "In Stock"))</f>
        <v/>
      </c>
      <c r="L120" s="26" t="inlineStr">
        <is>
          <t>2025-07-17 09:32 AM</t>
        </is>
      </c>
    </row>
    <row r="121">
      <c r="A121" s="28" t="inlineStr">
        <is>
          <t>8967764662078</t>
        </is>
      </c>
      <c r="B121" s="15" t="inlineStr">
        <is>
          <t>TRASH BAG 30X50</t>
        </is>
      </c>
      <c r="C121" s="15" t="inlineStr">
        <is>
          <t>Bin Plastic</t>
        </is>
      </c>
      <c r="D121" s="15" t="inlineStr">
        <is>
          <t>Bin Plastic</t>
        </is>
      </c>
      <c r="E121" s="18" t="n">
        <v>170</v>
      </c>
      <c r="F121" s="18" t="n">
        <v>230</v>
      </c>
      <c r="G121" s="18">
        <f>F121-E121</f>
        <v/>
      </c>
      <c r="H121" s="29" t="n">
        <v>6</v>
      </c>
      <c r="I121" s="18">
        <f>E121*H121</f>
        <v/>
      </c>
      <c r="J121" s="18">
        <f>F121*H121</f>
        <v/>
      </c>
      <c r="K121" s="28">
        <f>IF(H121&lt;=0, "Out of Stock", IF(H121&lt;=5, "Low Stock", "In Stock"))</f>
        <v/>
      </c>
      <c r="L121" s="28" t="inlineStr">
        <is>
          <t>2025-07-17 09:31 AM</t>
        </is>
      </c>
    </row>
    <row r="122">
      <c r="A122" s="26" t="inlineStr">
        <is>
          <t>8967764662023</t>
        </is>
      </c>
      <c r="B122" s="10" t="inlineStr">
        <is>
          <t>TRASH BAG 20X30</t>
        </is>
      </c>
      <c r="C122" s="10" t="inlineStr">
        <is>
          <t>Bin Platic</t>
        </is>
      </c>
      <c r="D122" s="10" t="inlineStr">
        <is>
          <t>Bin Platic</t>
        </is>
      </c>
      <c r="E122" s="13" t="n">
        <v>180</v>
      </c>
      <c r="F122" s="13" t="n">
        <v>230</v>
      </c>
      <c r="G122" s="13">
        <f>F122-E122</f>
        <v/>
      </c>
      <c r="H122" s="27" t="n">
        <v>7</v>
      </c>
      <c r="I122" s="13">
        <f>E122*H122</f>
        <v/>
      </c>
      <c r="J122" s="13">
        <f>F122*H122</f>
        <v/>
      </c>
      <c r="K122" s="26">
        <f>IF(H122&lt;=0, "Out of Stock", IF(H122&lt;=5, "Low Stock", "In Stock"))</f>
        <v/>
      </c>
      <c r="L122" s="26" t="inlineStr">
        <is>
          <t>2025-07-17 09:34 AM</t>
        </is>
      </c>
    </row>
    <row r="123">
      <c r="A123" s="28" t="inlineStr">
        <is>
          <t>8967764662030</t>
        </is>
      </c>
      <c r="B123" s="15" t="inlineStr">
        <is>
          <t>TRASH BAG 24 X 36</t>
        </is>
      </c>
      <c r="C123" s="15" t="inlineStr">
        <is>
          <t>Bin Platic</t>
        </is>
      </c>
      <c r="D123" s="15" t="inlineStr">
        <is>
          <t>Bin Platic</t>
        </is>
      </c>
      <c r="E123" s="18" t="n">
        <v>170</v>
      </c>
      <c r="F123" s="18" t="n">
        <v>230</v>
      </c>
      <c r="G123" s="18">
        <f>F123-E123</f>
        <v/>
      </c>
      <c r="H123" s="29" t="n">
        <v>1</v>
      </c>
      <c r="I123" s="18">
        <f>E123*H123</f>
        <v/>
      </c>
      <c r="J123" s="18">
        <f>F123*H123</f>
        <v/>
      </c>
      <c r="K123" s="28">
        <f>IF(H123&lt;=0, "Out of Stock", IF(H123&lt;=5, "Low Stock", "In Stock"))</f>
        <v/>
      </c>
      <c r="L123" s="28" t="inlineStr">
        <is>
          <t>2025-07-17 09:26 AM</t>
        </is>
      </c>
    </row>
    <row r="124">
      <c r="A124" s="26" t="inlineStr">
        <is>
          <t>620514009902</t>
        </is>
      </c>
      <c r="B124" s="10" t="inlineStr">
        <is>
          <t>NATIONAL BIRYANI SACHET</t>
        </is>
      </c>
      <c r="C124" s="10" t="inlineStr">
        <is>
          <t>Biryani</t>
        </is>
      </c>
      <c r="D124" s="10" t="inlineStr">
        <is>
          <t>Biryani</t>
        </is>
      </c>
      <c r="E124" s="13" t="n">
        <v>58.33</v>
      </c>
      <c r="F124" s="13" t="n">
        <v>70</v>
      </c>
      <c r="G124" s="13">
        <f>F124-E124</f>
        <v/>
      </c>
      <c r="H124" s="27" t="n">
        <v>58</v>
      </c>
      <c r="I124" s="13">
        <f>E124*H124</f>
        <v/>
      </c>
      <c r="J124" s="13">
        <f>F124*H124</f>
        <v/>
      </c>
      <c r="K124" s="26">
        <f>IF(H124&lt;=0, "Out of Stock", IF(H124&lt;=5, "Low Stock", "In Stock"))</f>
        <v/>
      </c>
      <c r="L124" s="26" t="inlineStr">
        <is>
          <t>2025-07-19 05:39 PM</t>
        </is>
      </c>
    </row>
    <row r="125">
      <c r="A125" s="28" t="inlineStr">
        <is>
          <t>8964002526192</t>
        </is>
      </c>
      <c r="B125" s="15" t="inlineStr">
        <is>
          <t>RIO STRABERRY SM</t>
        </is>
      </c>
      <c r="C125" s="15" t="inlineStr">
        <is>
          <t>Biscuits &amp; Bakery</t>
        </is>
      </c>
      <c r="D125" s="15" t="inlineStr">
        <is>
          <t>Bicuit</t>
        </is>
      </c>
      <c r="E125" s="18" t="n">
        <v>18</v>
      </c>
      <c r="F125" s="18" t="n">
        <v>20</v>
      </c>
      <c r="G125" s="18">
        <f>F125-E125</f>
        <v/>
      </c>
      <c r="H125" s="29" t="n">
        <v>32</v>
      </c>
      <c r="I125" s="18">
        <f>E125*H125</f>
        <v/>
      </c>
      <c r="J125" s="18">
        <f>F125*H125</f>
        <v/>
      </c>
      <c r="K125" s="28">
        <f>IF(H125&lt;=0, "Out of Stock", IF(H125&lt;=5, "Low Stock", "In Stock"))</f>
        <v/>
      </c>
      <c r="L125" s="28" t="inlineStr">
        <is>
          <t>2025-08-04 10:21 AM</t>
        </is>
      </c>
    </row>
    <row r="126">
      <c r="A126" s="26" t="inlineStr">
        <is>
          <t>8961003024016</t>
        </is>
      </c>
      <c r="B126" s="10" t="inlineStr">
        <is>
          <t>BAKERI BISTIKS 45G</t>
        </is>
      </c>
      <c r="C126" s="10" t="inlineStr">
        <is>
          <t>Biscuits &amp; Bakery</t>
        </is>
      </c>
      <c r="D126" s="10" t="inlineStr">
        <is>
          <t>Biscuit</t>
        </is>
      </c>
      <c r="E126" s="13" t="n">
        <v>34.06</v>
      </c>
      <c r="F126" s="13" t="n">
        <v>40</v>
      </c>
      <c r="G126" s="13">
        <f>F126-E126</f>
        <v/>
      </c>
      <c r="H126" s="27" t="n">
        <v>49</v>
      </c>
      <c r="I126" s="13">
        <f>E126*H126</f>
        <v/>
      </c>
      <c r="J126" s="13">
        <f>F126*H126</f>
        <v/>
      </c>
      <c r="K126" s="26">
        <f>IF(H126&lt;=0, "Out of Stock", IF(H126&lt;=5, "Low Stock", "In Stock"))</f>
        <v/>
      </c>
      <c r="L126" s="26" t="inlineStr">
        <is>
          <t>2025-07-18 09:45 AM</t>
        </is>
      </c>
    </row>
    <row r="127">
      <c r="A127" s="28" t="inlineStr">
        <is>
          <t>8961003021732</t>
        </is>
      </c>
      <c r="B127" s="15" t="inlineStr">
        <is>
          <t>BAKERI COCONUT</t>
        </is>
      </c>
      <c r="C127" s="15" t="inlineStr">
        <is>
          <t>Biscuits &amp; Bakery</t>
        </is>
      </c>
      <c r="D127" s="15" t="inlineStr">
        <is>
          <t>Biscuit</t>
        </is>
      </c>
      <c r="E127" s="18" t="n">
        <v>47</v>
      </c>
      <c r="F127" s="18" t="n">
        <v>50</v>
      </c>
      <c r="G127" s="18">
        <f>F127-E127</f>
        <v/>
      </c>
      <c r="H127" s="29" t="n">
        <v>9</v>
      </c>
      <c r="I127" s="18">
        <f>E127*H127</f>
        <v/>
      </c>
      <c r="J127" s="18">
        <f>F127*H127</f>
        <v/>
      </c>
      <c r="K127" s="28">
        <f>IF(H127&lt;=0, "Out of Stock", IF(H127&lt;=5, "Low Stock", "In Stock"))</f>
        <v/>
      </c>
      <c r="L127" s="28" t="inlineStr">
        <is>
          <t>2025-07-18 09:54 AM</t>
        </is>
      </c>
    </row>
    <row r="128">
      <c r="A128" s="26" t="inlineStr">
        <is>
          <t>8961003669286</t>
        </is>
      </c>
      <c r="B128" s="10" t="inlineStr">
        <is>
          <t>BAKERI KHAAS</t>
        </is>
      </c>
      <c r="C128" s="10" t="inlineStr">
        <is>
          <t>Biscuits &amp; Bakery</t>
        </is>
      </c>
      <c r="D128" s="10" t="inlineStr">
        <is>
          <t>Biscuit</t>
        </is>
      </c>
      <c r="E128" s="13" t="n">
        <v>32</v>
      </c>
      <c r="F128" s="13" t="n">
        <v>40</v>
      </c>
      <c r="G128" s="13">
        <f>F128-E128</f>
        <v/>
      </c>
      <c r="H128" s="27" t="n">
        <v>27</v>
      </c>
      <c r="I128" s="13">
        <f>E128*H128</f>
        <v/>
      </c>
      <c r="J128" s="13">
        <f>F128*H128</f>
        <v/>
      </c>
      <c r="K128" s="26">
        <f>IF(H128&lt;=0, "Out of Stock", IF(H128&lt;=5, "Low Stock", "In Stock"))</f>
        <v/>
      </c>
      <c r="L128" s="26" t="inlineStr">
        <is>
          <t>2025-08-02 09:50 AM</t>
        </is>
      </c>
    </row>
    <row r="129">
      <c r="A129" s="28" t="inlineStr">
        <is>
          <t>8961003562358</t>
        </is>
      </c>
      <c r="B129" s="15" t="inlineStr">
        <is>
          <t>BAKERI NANKHATAI 44G</t>
        </is>
      </c>
      <c r="C129" s="15" t="inlineStr">
        <is>
          <t>Biscuits &amp; Bakery</t>
        </is>
      </c>
      <c r="D129" s="15" t="inlineStr">
        <is>
          <t>Biscuit</t>
        </is>
      </c>
      <c r="E129" s="18" t="n">
        <v>36</v>
      </c>
      <c r="F129" s="18" t="n">
        <v>40</v>
      </c>
      <c r="G129" s="18">
        <f>F129-E129</f>
        <v/>
      </c>
      <c r="H129" s="29" t="n">
        <v>31</v>
      </c>
      <c r="I129" s="18">
        <f>E129*H129</f>
        <v/>
      </c>
      <c r="J129" s="18">
        <f>F129*H129</f>
        <v/>
      </c>
      <c r="K129" s="28">
        <f>IF(H129&lt;=0, "Out of Stock", IF(H129&lt;=5, "Low Stock", "In Stock"))</f>
        <v/>
      </c>
      <c r="L129" s="28" t="inlineStr">
        <is>
          <t>2025-07-16 12:23 PM</t>
        </is>
      </c>
    </row>
    <row r="130">
      <c r="A130" s="26" t="inlineStr">
        <is>
          <t>8961102504990</t>
        </is>
      </c>
      <c r="B130" s="10" t="inlineStr">
        <is>
          <t>BISCONNI PRIME MI AMOR BISCUIT</t>
        </is>
      </c>
      <c r="C130" s="10" t="inlineStr">
        <is>
          <t>Biscuits &amp; Bakery</t>
        </is>
      </c>
      <c r="D130" s="10" t="inlineStr">
        <is>
          <t>Biscuit</t>
        </is>
      </c>
      <c r="E130" s="13" t="n">
        <v>220</v>
      </c>
      <c r="F130" s="13" t="n">
        <v>250</v>
      </c>
      <c r="G130" s="13">
        <f>F130-E130</f>
        <v/>
      </c>
      <c r="H130" s="27" t="n">
        <v>5</v>
      </c>
      <c r="I130" s="13">
        <f>E130*H130</f>
        <v/>
      </c>
      <c r="J130" s="13">
        <f>F130*H130</f>
        <v/>
      </c>
      <c r="K130" s="26">
        <f>IF(H130&lt;=0, "Out of Stock", IF(H130&lt;=5, "Low Stock", "In Stock"))</f>
        <v/>
      </c>
      <c r="L130" s="26" t="inlineStr">
        <is>
          <t>2025-07-18 07:03 PM</t>
        </is>
      </c>
    </row>
    <row r="131">
      <c r="A131" s="28" t="inlineStr">
        <is>
          <t>8961003614910</t>
        </is>
      </c>
      <c r="B131" s="15" t="inlineStr">
        <is>
          <t>CADBURY COOKIES</t>
        </is>
      </c>
      <c r="C131" s="15" t="inlineStr">
        <is>
          <t>Biscuits &amp; Bakery</t>
        </is>
      </c>
      <c r="D131" s="15" t="inlineStr">
        <is>
          <t>Biscuit</t>
        </is>
      </c>
      <c r="E131" s="18" t="n">
        <v>37</v>
      </c>
      <c r="F131" s="18" t="n">
        <v>40</v>
      </c>
      <c r="G131" s="18">
        <f>F131-E131</f>
        <v/>
      </c>
      <c r="H131" s="29" t="n">
        <v>1</v>
      </c>
      <c r="I131" s="18">
        <f>E131*H131</f>
        <v/>
      </c>
      <c r="J131" s="18">
        <f>F131*H131</f>
        <v/>
      </c>
      <c r="K131" s="28">
        <f>IF(H131&lt;=0, "Out of Stock", IF(H131&lt;=5, "Low Stock", "In Stock"))</f>
        <v/>
      </c>
      <c r="L131" s="28" t="inlineStr">
        <is>
          <t>2025-07-18 09:36 AM</t>
        </is>
      </c>
    </row>
    <row r="132">
      <c r="A132" s="26" t="inlineStr">
        <is>
          <t>8964003593094</t>
        </is>
      </c>
      <c r="B132" s="10" t="inlineStr">
        <is>
          <t>CAKE UP MILKY CHOCOLATE</t>
        </is>
      </c>
      <c r="C132" s="10" t="inlineStr">
        <is>
          <t>Biscuits &amp; Bakery</t>
        </is>
      </c>
      <c r="D132" s="10" t="inlineStr">
        <is>
          <t>Biscuit</t>
        </is>
      </c>
      <c r="E132" s="13" t="n">
        <v>17.71</v>
      </c>
      <c r="F132" s="13" t="n">
        <v>20</v>
      </c>
      <c r="G132" s="13">
        <f>F132-E132</f>
        <v/>
      </c>
      <c r="H132" s="27" t="n">
        <v>67</v>
      </c>
      <c r="I132" s="13">
        <f>E132*H132</f>
        <v/>
      </c>
      <c r="J132" s="13">
        <f>F132*H132</f>
        <v/>
      </c>
      <c r="K132" s="26">
        <f>IF(H132&lt;=0, "Out of Stock", IF(H132&lt;=5, "Low Stock", "In Stock"))</f>
        <v/>
      </c>
      <c r="L132" s="26" t="inlineStr">
        <is>
          <t>2025-07-14 08:49 AM</t>
        </is>
      </c>
    </row>
    <row r="133">
      <c r="A133" s="28" t="inlineStr">
        <is>
          <t>8961102505485</t>
        </is>
      </c>
      <c r="B133" s="15" t="inlineStr">
        <is>
          <t>CHIP HOP CHOCOLATE</t>
        </is>
      </c>
      <c r="C133" s="15" t="inlineStr">
        <is>
          <t>Biscuits &amp; Bakery</t>
        </is>
      </c>
      <c r="D133" s="15" t="inlineStr">
        <is>
          <t>Biscuit</t>
        </is>
      </c>
      <c r="E133" s="18" t="n">
        <v>36</v>
      </c>
      <c r="F133" s="18" t="n">
        <v>40</v>
      </c>
      <c r="G133" s="18">
        <f>F133-E133</f>
        <v/>
      </c>
      <c r="H133" s="29" t="n">
        <v>2</v>
      </c>
      <c r="I133" s="18">
        <f>E133*H133</f>
        <v/>
      </c>
      <c r="J133" s="18">
        <f>F133*H133</f>
        <v/>
      </c>
      <c r="K133" s="28">
        <f>IF(H133&lt;=0, "Out of Stock", IF(H133&lt;=5, "Low Stock", "In Stock"))</f>
        <v/>
      </c>
      <c r="L133" s="28" t="inlineStr">
        <is>
          <t>2025-07-18 09:34 AM</t>
        </is>
      </c>
    </row>
    <row r="134">
      <c r="A134" s="26" t="inlineStr">
        <is>
          <t>8964002759569</t>
        </is>
      </c>
      <c r="B134" s="10" t="inlineStr">
        <is>
          <t>CHOCO BAR LICIOUS 12G</t>
        </is>
      </c>
      <c r="C134" s="10" t="inlineStr">
        <is>
          <t>Biscuits &amp; Bakery</t>
        </is>
      </c>
      <c r="D134" s="10" t="inlineStr">
        <is>
          <t>Biscuit</t>
        </is>
      </c>
      <c r="E134" s="13" t="n">
        <v>14</v>
      </c>
      <c r="F134" s="13" t="n">
        <v>15</v>
      </c>
      <c r="G134" s="13">
        <f>F134-E134</f>
        <v/>
      </c>
      <c r="H134" s="27" t="n">
        <v>1</v>
      </c>
      <c r="I134" s="13">
        <f>E134*H134</f>
        <v/>
      </c>
      <c r="J134" s="13">
        <f>F134*H134</f>
        <v/>
      </c>
      <c r="K134" s="26">
        <f>IF(H134&lt;=0, "Out of Stock", IF(H134&lt;=5, "Low Stock", "In Stock"))</f>
        <v/>
      </c>
      <c r="L134" s="26" t="inlineStr">
        <is>
          <t>2025-07-18 09:32 AM</t>
        </is>
      </c>
    </row>
    <row r="135">
      <c r="A135" s="28" t="inlineStr">
        <is>
          <t>8964003591533</t>
        </is>
      </c>
      <c r="B135" s="15" t="inlineStr">
        <is>
          <t>CHOCO LAVA 30G</t>
        </is>
      </c>
      <c r="C135" s="15" t="inlineStr">
        <is>
          <t>Biscuits &amp; Bakery</t>
        </is>
      </c>
      <c r="D135" s="15" t="inlineStr">
        <is>
          <t>Biscuit</t>
        </is>
      </c>
      <c r="E135" s="18" t="n">
        <v>37</v>
      </c>
      <c r="F135" s="18" t="n">
        <v>40</v>
      </c>
      <c r="G135" s="18">
        <f>F135-E135</f>
        <v/>
      </c>
      <c r="H135" s="29" t="n">
        <v>50</v>
      </c>
      <c r="I135" s="18">
        <f>E135*H135</f>
        <v/>
      </c>
      <c r="J135" s="18">
        <f>F135*H135</f>
        <v/>
      </c>
      <c r="K135" s="28">
        <f>IF(H135&lt;=0, "Out of Stock", IF(H135&lt;=5, "Low Stock", "In Stock"))</f>
        <v/>
      </c>
      <c r="L135" s="28" t="inlineStr">
        <is>
          <t>2025-07-18 09:41 AM</t>
        </is>
      </c>
    </row>
    <row r="136">
      <c r="A136" s="26" t="inlineStr">
        <is>
          <t>8964002759545</t>
        </is>
      </c>
      <c r="B136" s="10" t="inlineStr">
        <is>
          <t>CHOCO LICIOUS 25G</t>
        </is>
      </c>
      <c r="C136" s="10" t="inlineStr">
        <is>
          <t>Biscuits &amp; Bakery</t>
        </is>
      </c>
      <c r="D136" s="10" t="inlineStr">
        <is>
          <t>Biscuit</t>
        </is>
      </c>
      <c r="E136" s="13" t="n">
        <v>27</v>
      </c>
      <c r="F136" s="13" t="n">
        <v>30</v>
      </c>
      <c r="G136" s="13">
        <f>F136-E136</f>
        <v/>
      </c>
      <c r="H136" s="27" t="n">
        <v>41</v>
      </c>
      <c r="I136" s="13">
        <f>E136*H136</f>
        <v/>
      </c>
      <c r="J136" s="13">
        <f>F136*H136</f>
        <v/>
      </c>
      <c r="K136" s="26">
        <f>IF(H136&lt;=0, "Out of Stock", IF(H136&lt;=5, "Low Stock", "In Stock"))</f>
        <v/>
      </c>
      <c r="L136" s="26" t="inlineStr">
        <is>
          <t>2025-07-18 09:33 AM</t>
        </is>
      </c>
    </row>
    <row r="137">
      <c r="A137" s="28" t="inlineStr">
        <is>
          <t>8964002759583</t>
        </is>
      </c>
      <c r="B137" s="15" t="inlineStr">
        <is>
          <t>CHOCO LICIOUS DB CHOCOLATE</t>
        </is>
      </c>
      <c r="C137" s="15" t="inlineStr">
        <is>
          <t>Biscuits &amp; Bakery</t>
        </is>
      </c>
      <c r="D137" s="15" t="inlineStr">
        <is>
          <t>Biscuit</t>
        </is>
      </c>
      <c r="E137" s="18" t="n">
        <v>27.75</v>
      </c>
      <c r="F137" s="18" t="n">
        <v>30</v>
      </c>
      <c r="G137" s="18">
        <f>F137-E137</f>
        <v/>
      </c>
      <c r="H137" s="29" t="n">
        <v>42</v>
      </c>
      <c r="I137" s="18">
        <f>E137*H137</f>
        <v/>
      </c>
      <c r="J137" s="18">
        <f>F137*H137</f>
        <v/>
      </c>
      <c r="K137" s="28">
        <f>IF(H137&lt;=0, "Out of Stock", IF(H137&lt;=5, "Low Stock", "In Stock"))</f>
        <v/>
      </c>
      <c r="L137" s="28" t="inlineStr">
        <is>
          <t>2025-07-21 06:12 PM</t>
        </is>
      </c>
    </row>
    <row r="138">
      <c r="A138" s="26" t="inlineStr">
        <is>
          <t>8965310055237</t>
        </is>
      </c>
      <c r="B138" s="10" t="inlineStr">
        <is>
          <t>CHOCO RINGS</t>
        </is>
      </c>
      <c r="C138" s="10" t="inlineStr">
        <is>
          <t>Biscuits &amp; Bakery</t>
        </is>
      </c>
      <c r="D138" s="10" t="inlineStr">
        <is>
          <t>Biscuit</t>
        </is>
      </c>
      <c r="E138" s="13" t="n">
        <v>28</v>
      </c>
      <c r="F138" s="13" t="n">
        <v>30</v>
      </c>
      <c r="G138" s="13">
        <f>F138-E138</f>
        <v/>
      </c>
      <c r="H138" s="27" t="n">
        <v>5</v>
      </c>
      <c r="I138" s="13">
        <f>E138*H138</f>
        <v/>
      </c>
      <c r="J138" s="13">
        <f>F138*H138</f>
        <v/>
      </c>
      <c r="K138" s="26">
        <f>IF(H138&lt;=0, "Out of Stock", IF(H138&lt;=5, "Low Stock", "In Stock"))</f>
        <v/>
      </c>
      <c r="L138" s="26" t="inlineStr">
        <is>
          <t>2025-07-18 10:01 AM</t>
        </is>
      </c>
    </row>
    <row r="139">
      <c r="A139" s="28" t="inlineStr">
        <is>
          <t>8964002758678</t>
        </is>
      </c>
      <c r="B139" s="15" t="inlineStr">
        <is>
          <t>CLICK ZEERA BISCUIT</t>
        </is>
      </c>
      <c r="C139" s="15" t="inlineStr">
        <is>
          <t>Biscuits &amp; Bakery</t>
        </is>
      </c>
      <c r="D139" s="15" t="inlineStr">
        <is>
          <t>Biscuit</t>
        </is>
      </c>
      <c r="E139" s="18" t="n">
        <v>37</v>
      </c>
      <c r="F139" s="18" t="n">
        <v>40</v>
      </c>
      <c r="G139" s="18">
        <f>F139-E139</f>
        <v/>
      </c>
      <c r="H139" s="29" t="n">
        <v>19</v>
      </c>
      <c r="I139" s="18">
        <f>E139*H139</f>
        <v/>
      </c>
      <c r="J139" s="18">
        <f>F139*H139</f>
        <v/>
      </c>
      <c r="K139" s="28">
        <f>IF(H139&lt;=0, "Out of Stock", IF(H139&lt;=5, "Low Stock", "In Stock"))</f>
        <v/>
      </c>
      <c r="L139" s="28" t="inlineStr">
        <is>
          <t>2025-07-18 09:50 AM</t>
        </is>
      </c>
    </row>
    <row r="140">
      <c r="A140" s="26" t="inlineStr">
        <is>
          <t>8964002526789</t>
        </is>
      </c>
      <c r="B140" s="10" t="inlineStr">
        <is>
          <t>CLICK ZEERA BISCUIT 35G</t>
        </is>
      </c>
      <c r="C140" s="10" t="inlineStr">
        <is>
          <t>Biscuits &amp; Bakery</t>
        </is>
      </c>
      <c r="D140" s="10" t="inlineStr">
        <is>
          <t>Biscuit</t>
        </is>
      </c>
      <c r="E140" s="13" t="n">
        <v>18</v>
      </c>
      <c r="F140" s="13" t="n">
        <v>20</v>
      </c>
      <c r="G140" s="13">
        <f>F140-E140</f>
        <v/>
      </c>
      <c r="H140" s="27" t="n">
        <v>18</v>
      </c>
      <c r="I140" s="13">
        <f>E140*H140</f>
        <v/>
      </c>
      <c r="J140" s="13">
        <f>F140*H140</f>
        <v/>
      </c>
      <c r="K140" s="26">
        <f>IF(H140&lt;=0, "Out of Stock", IF(H140&lt;=5, "Low Stock", "In Stock"))</f>
        <v/>
      </c>
      <c r="L140" s="26" t="inlineStr">
        <is>
          <t>2025-07-18 09:56 AM</t>
        </is>
      </c>
    </row>
    <row r="141">
      <c r="A141" s="28" t="inlineStr">
        <is>
          <t>8961102505546</t>
        </is>
      </c>
      <c r="B141" s="15" t="inlineStr">
        <is>
          <t>DIGESTIVE SUGER FREE BISCUIT</t>
        </is>
      </c>
      <c r="C141" s="15" t="inlineStr">
        <is>
          <t>Biscuits &amp; Bakery</t>
        </is>
      </c>
      <c r="D141" s="15" t="inlineStr">
        <is>
          <t>Biscuit</t>
        </is>
      </c>
      <c r="E141" s="18" t="n">
        <v>220</v>
      </c>
      <c r="F141" s="18" t="n">
        <v>250</v>
      </c>
      <c r="G141" s="18">
        <f>F141-E141</f>
        <v/>
      </c>
      <c r="H141" s="29" t="n">
        <v>7.67</v>
      </c>
      <c r="I141" s="18">
        <f>E141*H141</f>
        <v/>
      </c>
      <c r="J141" s="18">
        <f>F141*H141</f>
        <v/>
      </c>
      <c r="K141" s="28">
        <f>IF(H141&lt;=0, "Out of Stock", IF(H141&lt;=5, "Low Stock", "In Stock"))</f>
        <v/>
      </c>
      <c r="L141" s="28" t="inlineStr">
        <is>
          <t>2025-07-17 05:29 PM</t>
        </is>
      </c>
    </row>
    <row r="142">
      <c r="A142" s="26" t="inlineStr">
        <is>
          <t>8961103501752</t>
        </is>
      </c>
      <c r="B142" s="10" t="inlineStr">
        <is>
          <t>ECLIPSE SANDWICH BISCUITS</t>
        </is>
      </c>
      <c r="C142" s="10" t="inlineStr">
        <is>
          <t>Biscuits &amp; Bakery</t>
        </is>
      </c>
      <c r="D142" s="10" t="inlineStr">
        <is>
          <t>Biscuit</t>
        </is>
      </c>
      <c r="E142" s="13" t="n">
        <v>98</v>
      </c>
      <c r="F142" s="13" t="n">
        <v>250</v>
      </c>
      <c r="G142" s="13">
        <f>F142-E142</f>
        <v/>
      </c>
      <c r="H142" s="27" t="n">
        <v>3</v>
      </c>
      <c r="I142" s="13">
        <f>E142*H142</f>
        <v/>
      </c>
      <c r="J142" s="13">
        <f>F142*H142</f>
        <v/>
      </c>
      <c r="K142" s="26">
        <f>IF(H142&lt;=0, "Out of Stock", IF(H142&lt;=5, "Low Stock", "In Stock"))</f>
        <v/>
      </c>
      <c r="L142" s="26" t="inlineStr">
        <is>
          <t>2025-07-18 07:02 PM</t>
        </is>
      </c>
    </row>
    <row r="143">
      <c r="A143" s="28" t="inlineStr">
        <is>
          <t>8961003020520</t>
        </is>
      </c>
      <c r="B143" s="15" t="inlineStr">
        <is>
          <t>GALA EGG 50G</t>
        </is>
      </c>
      <c r="C143" s="15" t="inlineStr">
        <is>
          <t>Biscuits &amp; Bakery</t>
        </is>
      </c>
      <c r="D143" s="15" t="inlineStr">
        <is>
          <t>Biscuit</t>
        </is>
      </c>
      <c r="E143" s="18" t="n">
        <v>25.61</v>
      </c>
      <c r="F143" s="18" t="n">
        <v>30</v>
      </c>
      <c r="G143" s="18">
        <f>F143-E143</f>
        <v/>
      </c>
      <c r="H143" s="29" t="n">
        <v>71</v>
      </c>
      <c r="I143" s="18">
        <f>E143*H143</f>
        <v/>
      </c>
      <c r="J143" s="18">
        <f>F143*H143</f>
        <v/>
      </c>
      <c r="K143" s="28">
        <f>IF(H143&lt;=0, "Out of Stock", IF(H143&lt;=5, "Low Stock", "In Stock"))</f>
        <v/>
      </c>
      <c r="L143" s="28" t="inlineStr">
        <is>
          <t>2025-07-18 07:34 AM</t>
        </is>
      </c>
    </row>
    <row r="144">
      <c r="A144" s="26" t="inlineStr">
        <is>
          <t>8961003632617</t>
        </is>
      </c>
      <c r="B144" s="10" t="inlineStr">
        <is>
          <t>GALA EGG 65G</t>
        </is>
      </c>
      <c r="C144" s="10" t="inlineStr">
        <is>
          <t>Biscuits &amp; Bakery</t>
        </is>
      </c>
      <c r="D144" s="10" t="inlineStr">
        <is>
          <t>Biscuit</t>
        </is>
      </c>
      <c r="E144" s="13" t="n">
        <v>35</v>
      </c>
      <c r="F144" s="13" t="n">
        <v>40</v>
      </c>
      <c r="G144" s="13">
        <f>F144-E144</f>
        <v/>
      </c>
      <c r="H144" s="27" t="n">
        <v>49</v>
      </c>
      <c r="I144" s="13">
        <f>E144*H144</f>
        <v/>
      </c>
      <c r="J144" s="13">
        <f>F144*H144</f>
        <v/>
      </c>
      <c r="K144" s="26">
        <f>IF(H144&lt;=0, "Out of Stock", IF(H144&lt;=5, "Low Stock", "In Stock"))</f>
        <v/>
      </c>
      <c r="L144" s="26" t="inlineStr">
        <is>
          <t>2025-07-16 12:14 PM</t>
        </is>
      </c>
    </row>
    <row r="145">
      <c r="A145" s="28" t="inlineStr">
        <is>
          <t>8964003590925</t>
        </is>
      </c>
      <c r="B145" s="15" t="inlineStr">
        <is>
          <t>GLUCO BISCUIT</t>
        </is>
      </c>
      <c r="C145" s="15" t="inlineStr">
        <is>
          <t>Biscuits &amp; Bakery</t>
        </is>
      </c>
      <c r="D145" s="15" t="inlineStr">
        <is>
          <t>Biscuit</t>
        </is>
      </c>
      <c r="E145" s="18" t="n">
        <v>36.22</v>
      </c>
      <c r="F145" s="18" t="n">
        <v>40</v>
      </c>
      <c r="G145" s="18">
        <f>F145-E145</f>
        <v/>
      </c>
      <c r="H145" s="29" t="n">
        <v>48</v>
      </c>
      <c r="I145" s="18">
        <f>E145*H145</f>
        <v/>
      </c>
      <c r="J145" s="18">
        <f>F145*H145</f>
        <v/>
      </c>
      <c r="K145" s="28">
        <f>IF(H145&lt;=0, "Out of Stock", IF(H145&lt;=5, "Low Stock", "In Stock"))</f>
        <v/>
      </c>
      <c r="L145" s="28" t="inlineStr">
        <is>
          <t>2025-07-14 08:35 AM</t>
        </is>
      </c>
    </row>
    <row r="146">
      <c r="A146" s="26" t="inlineStr">
        <is>
          <t>8964003592257</t>
        </is>
      </c>
      <c r="B146" s="10" t="inlineStr">
        <is>
          <t>GLUCO BISSCUIT SM</t>
        </is>
      </c>
      <c r="C146" s="10" t="inlineStr">
        <is>
          <t>Biscuits &amp; Bakery</t>
        </is>
      </c>
      <c r="D146" s="10" t="inlineStr">
        <is>
          <t>Biscuit</t>
        </is>
      </c>
      <c r="E146" s="13" t="n">
        <v>17.85</v>
      </c>
      <c r="F146" s="13" t="n">
        <v>20</v>
      </c>
      <c r="G146" s="13">
        <f>F146-E146</f>
        <v/>
      </c>
      <c r="H146" s="27" t="n">
        <v>100</v>
      </c>
      <c r="I146" s="13">
        <f>E146*H146</f>
        <v/>
      </c>
      <c r="J146" s="13">
        <f>F146*H146</f>
        <v/>
      </c>
      <c r="K146" s="26">
        <f>IF(H146&lt;=0, "Out of Stock", IF(H146&lt;=5, "Low Stock", "In Stock"))</f>
        <v/>
      </c>
      <c r="L146" s="26" t="inlineStr">
        <is>
          <t>2025-07-14 08:45 AM</t>
        </is>
      </c>
    </row>
    <row r="147">
      <c r="A147" s="28" t="inlineStr">
        <is>
          <t>8965310042855</t>
        </is>
      </c>
      <c r="B147" s="15" t="inlineStr">
        <is>
          <t>INOVAATIVE GOODIES</t>
        </is>
      </c>
      <c r="C147" s="15" t="inlineStr">
        <is>
          <t>Biscuits &amp; Bakery</t>
        </is>
      </c>
      <c r="D147" s="15" t="inlineStr">
        <is>
          <t>Biscuit</t>
        </is>
      </c>
      <c r="E147" s="18" t="n">
        <v>18</v>
      </c>
      <c r="F147" s="18" t="n">
        <v>20</v>
      </c>
      <c r="G147" s="18">
        <f>F147-E147</f>
        <v/>
      </c>
      <c r="H147" s="29" t="n">
        <v>6</v>
      </c>
      <c r="I147" s="18">
        <f>E147*H147</f>
        <v/>
      </c>
      <c r="J147" s="18">
        <f>F147*H147</f>
        <v/>
      </c>
      <c r="K147" s="28">
        <f>IF(H147&lt;=0, "Out of Stock", IF(H147&lt;=5, "Low Stock", "In Stock"))</f>
        <v/>
      </c>
      <c r="L147" s="28" t="inlineStr">
        <is>
          <t>2025-07-31 04:31 PM</t>
        </is>
      </c>
    </row>
    <row r="148">
      <c r="A148" s="26" t="inlineStr">
        <is>
          <t>8965310050607</t>
        </is>
      </c>
      <c r="B148" s="10" t="inlineStr">
        <is>
          <t>INOVATIVE BUTTER CRUNCH</t>
        </is>
      </c>
      <c r="C148" s="10" t="inlineStr">
        <is>
          <t>Biscuits &amp; Bakery</t>
        </is>
      </c>
      <c r="D148" s="10" t="inlineStr">
        <is>
          <t>Biscuit</t>
        </is>
      </c>
      <c r="E148" s="13" t="n">
        <v>36</v>
      </c>
      <c r="F148" s="13" t="n">
        <v>40</v>
      </c>
      <c r="G148" s="13">
        <f>F148-E148</f>
        <v/>
      </c>
      <c r="H148" s="27" t="n">
        <v>22</v>
      </c>
      <c r="I148" s="13">
        <f>E148*H148</f>
        <v/>
      </c>
      <c r="J148" s="13">
        <f>F148*H148</f>
        <v/>
      </c>
      <c r="K148" s="26">
        <f>IF(H148&lt;=0, "Out of Stock", IF(H148&lt;=5, "Low Stock", "In Stock"))</f>
        <v/>
      </c>
      <c r="L148" s="26" t="inlineStr">
        <is>
          <t>2025-07-31 04:28 PM</t>
        </is>
      </c>
    </row>
    <row r="149">
      <c r="A149" s="28" t="inlineStr">
        <is>
          <t>8965310043173</t>
        </is>
      </c>
      <c r="B149" s="15" t="inlineStr">
        <is>
          <t>INOVATIVE CHOC CUP RS.10</t>
        </is>
      </c>
      <c r="C149" s="15" t="inlineStr">
        <is>
          <t>Biscuits &amp; Bakery</t>
        </is>
      </c>
      <c r="D149" s="15" t="inlineStr">
        <is>
          <t>Biscuit</t>
        </is>
      </c>
      <c r="E149" s="18" t="n">
        <v>9</v>
      </c>
      <c r="F149" s="18" t="n">
        <v>10</v>
      </c>
      <c r="G149" s="18">
        <f>F149-E149</f>
        <v/>
      </c>
      <c r="H149" s="29" t="n">
        <v>0</v>
      </c>
      <c r="I149" s="18">
        <f>E149*H149</f>
        <v/>
      </c>
      <c r="J149" s="18">
        <f>F149*H149</f>
        <v/>
      </c>
      <c r="K149" s="28">
        <f>IF(H149&lt;=0, "Out of Stock", IF(H149&lt;=5, "Low Stock", "In Stock"))</f>
        <v/>
      </c>
      <c r="L149" s="28" t="inlineStr">
        <is>
          <t>2025-07-31 04:33 PM</t>
        </is>
      </c>
    </row>
    <row r="150">
      <c r="A150" s="26" t="inlineStr">
        <is>
          <t>8965310054865</t>
        </is>
      </c>
      <c r="B150" s="10" t="inlineStr">
        <is>
          <t>INOVATIVE HAVEN CHOC COOKIES</t>
        </is>
      </c>
      <c r="C150" s="10" t="inlineStr">
        <is>
          <t>Biscuits &amp; Bakery</t>
        </is>
      </c>
      <c r="D150" s="10" t="inlineStr">
        <is>
          <t>Biscuit</t>
        </is>
      </c>
      <c r="E150" s="13" t="n">
        <v>45</v>
      </c>
      <c r="F150" s="13" t="n">
        <v>50</v>
      </c>
      <c r="G150" s="13">
        <f>F150-E150</f>
        <v/>
      </c>
      <c r="H150" s="27" t="n">
        <v>7</v>
      </c>
      <c r="I150" s="13">
        <f>E150*H150</f>
        <v/>
      </c>
      <c r="J150" s="13">
        <f>F150*H150</f>
        <v/>
      </c>
      <c r="K150" s="26">
        <f>IF(H150&lt;=0, "Out of Stock", IF(H150&lt;=5, "Low Stock", "In Stock"))</f>
        <v/>
      </c>
      <c r="L150" s="26" t="inlineStr">
        <is>
          <t>2025-07-31 04:36 PM</t>
        </is>
      </c>
    </row>
    <row r="151">
      <c r="A151" s="28" t="inlineStr">
        <is>
          <t>8965310042411</t>
        </is>
      </c>
      <c r="B151" s="15" t="inlineStr">
        <is>
          <t>INOVATIVE JUMBO JUNIOR</t>
        </is>
      </c>
      <c r="C151" s="15" t="inlineStr">
        <is>
          <t>Biscuits &amp; Bakery</t>
        </is>
      </c>
      <c r="D151" s="15" t="inlineStr">
        <is>
          <t>Biscuit</t>
        </is>
      </c>
      <c r="E151" s="18" t="n">
        <v>9</v>
      </c>
      <c r="F151" s="18" t="n">
        <v>10</v>
      </c>
      <c r="G151" s="18">
        <f>F151-E151</f>
        <v/>
      </c>
      <c r="H151" s="29" t="n">
        <v>175</v>
      </c>
      <c r="I151" s="18">
        <f>E151*H151</f>
        <v/>
      </c>
      <c r="J151" s="18">
        <f>F151*H151</f>
        <v/>
      </c>
      <c r="K151" s="28">
        <f>IF(H151&lt;=0, "Out of Stock", IF(H151&lt;=5, "Low Stock", "In Stock"))</f>
        <v/>
      </c>
      <c r="L151" s="28" t="inlineStr">
        <is>
          <t>2025-07-18 09:58 AM</t>
        </is>
      </c>
    </row>
    <row r="152">
      <c r="A152" s="26" t="inlineStr">
        <is>
          <t>8965310055084</t>
        </is>
      </c>
      <c r="B152" s="10" t="inlineStr">
        <is>
          <t>INOVATIVE PEANUT</t>
        </is>
      </c>
      <c r="C152" s="10" t="inlineStr">
        <is>
          <t>Biscuits &amp; Bakery</t>
        </is>
      </c>
      <c r="D152" s="10" t="inlineStr">
        <is>
          <t>Biscuit</t>
        </is>
      </c>
      <c r="E152" s="13" t="n">
        <v>27</v>
      </c>
      <c r="F152" s="13" t="n">
        <v>30</v>
      </c>
      <c r="G152" s="13">
        <f>F152-E152</f>
        <v/>
      </c>
      <c r="H152" s="27" t="n">
        <v>3</v>
      </c>
      <c r="I152" s="13">
        <f>E152*H152</f>
        <v/>
      </c>
      <c r="J152" s="13">
        <f>F152*H152</f>
        <v/>
      </c>
      <c r="K152" s="26">
        <f>IF(H152&lt;=0, "Out of Stock", IF(H152&lt;=5, "Low Stock", "In Stock"))</f>
        <v/>
      </c>
      <c r="L152" s="26" t="inlineStr">
        <is>
          <t>2025-07-18 09:39 AM</t>
        </is>
      </c>
    </row>
    <row r="153">
      <c r="A153" s="28" t="inlineStr">
        <is>
          <t>8965310060019</t>
        </is>
      </c>
      <c r="B153" s="15" t="inlineStr">
        <is>
          <t>INOVATIVE TOOO GUD</t>
        </is>
      </c>
      <c r="C153" s="15" t="inlineStr">
        <is>
          <t>Biscuits &amp; Bakery</t>
        </is>
      </c>
      <c r="D153" s="15" t="inlineStr">
        <is>
          <t>Biscuit</t>
        </is>
      </c>
      <c r="E153" s="18" t="n">
        <v>18</v>
      </c>
      <c r="F153" s="18" t="n">
        <v>20</v>
      </c>
      <c r="G153" s="18">
        <f>F153-E153</f>
        <v/>
      </c>
      <c r="H153" s="29" t="n">
        <v>9</v>
      </c>
      <c r="I153" s="18">
        <f>E153*H153</f>
        <v/>
      </c>
      <c r="J153" s="18">
        <f>F153*H153</f>
        <v/>
      </c>
      <c r="K153" s="28">
        <f>IF(H153&lt;=0, "Out of Stock", IF(H153&lt;=5, "Low Stock", "In Stock"))</f>
        <v/>
      </c>
      <c r="L153" s="28" t="inlineStr">
        <is>
          <t>2025-07-31 04:29 PM</t>
        </is>
      </c>
    </row>
    <row r="154">
      <c r="A154" s="26" t="inlineStr">
        <is>
          <t>8961003569654</t>
        </is>
      </c>
      <c r="B154" s="10" t="inlineStr">
        <is>
          <t>KHAAS COOKIES</t>
        </is>
      </c>
      <c r="C154" s="10" t="inlineStr">
        <is>
          <t>Biscuits &amp; Bakery</t>
        </is>
      </c>
      <c r="D154" s="10" t="inlineStr">
        <is>
          <t>Biscuit</t>
        </is>
      </c>
      <c r="E154" s="13" t="n">
        <v>35</v>
      </c>
      <c r="F154" s="13" t="n">
        <v>40</v>
      </c>
      <c r="G154" s="13">
        <f>F154-E154</f>
        <v/>
      </c>
      <c r="H154" s="27" t="n">
        <v>5</v>
      </c>
      <c r="I154" s="13">
        <f>E154*H154</f>
        <v/>
      </c>
      <c r="J154" s="13">
        <f>F154*H154</f>
        <v/>
      </c>
      <c r="K154" s="26">
        <f>IF(H154&lt;=0, "Out of Stock", IF(H154&lt;=5, "Low Stock", "In Stock"))</f>
        <v/>
      </c>
      <c r="L154" s="26" t="inlineStr">
        <is>
          <t>2025-07-16 12:06 PM</t>
        </is>
      </c>
    </row>
    <row r="155">
      <c r="A155" s="28" t="inlineStr">
        <is>
          <t>8965320015030</t>
        </is>
      </c>
      <c r="B155" s="15" t="inlineStr">
        <is>
          <t>LEMON CREAM SANDWICH BISCUIT</t>
        </is>
      </c>
      <c r="C155" s="15" t="inlineStr">
        <is>
          <t>Biscuits &amp; Bakery</t>
        </is>
      </c>
      <c r="D155" s="15" t="inlineStr">
        <is>
          <t>Biscuit</t>
        </is>
      </c>
      <c r="E155" s="18" t="n">
        <v>17</v>
      </c>
      <c r="F155" s="18" t="n">
        <v>20</v>
      </c>
      <c r="G155" s="18">
        <f>F155-E155</f>
        <v/>
      </c>
      <c r="H155" s="29" t="n">
        <v>126.99</v>
      </c>
      <c r="I155" s="18">
        <f>E155*H155</f>
        <v/>
      </c>
      <c r="J155" s="18">
        <f>F155*H155</f>
        <v/>
      </c>
      <c r="K155" s="28">
        <f>IF(H155&lt;=0, "Out of Stock", IF(H155&lt;=5, "Low Stock", "In Stock"))</f>
        <v/>
      </c>
      <c r="L155" s="28" t="inlineStr">
        <is>
          <t>2025-07-18 10:11 AM</t>
        </is>
      </c>
    </row>
    <row r="156">
      <c r="A156" s="26" t="inlineStr">
        <is>
          <t>8961003682018</t>
        </is>
      </c>
      <c r="B156" s="10" t="inlineStr">
        <is>
          <t>LU WHEATABLE HIGH FIBER</t>
        </is>
      </c>
      <c r="C156" s="10" t="inlineStr">
        <is>
          <t>Biscuits &amp; Bakery</t>
        </is>
      </c>
      <c r="D156" s="10" t="inlineStr">
        <is>
          <t>Biscuit</t>
        </is>
      </c>
      <c r="E156" s="13" t="n">
        <v>47</v>
      </c>
      <c r="F156" s="13" t="n">
        <v>50</v>
      </c>
      <c r="G156" s="13">
        <f>F156-E156</f>
        <v/>
      </c>
      <c r="H156" s="27" t="n">
        <v>11</v>
      </c>
      <c r="I156" s="13">
        <f>E156*H156</f>
        <v/>
      </c>
      <c r="J156" s="13">
        <f>F156*H156</f>
        <v/>
      </c>
      <c r="K156" s="26">
        <f>IF(H156&lt;=0, "Out of Stock", IF(H156&lt;=5, "Low Stock", "In Stock"))</f>
        <v/>
      </c>
      <c r="L156" s="26" t="inlineStr">
        <is>
          <t>2025-07-18 09:55 AM</t>
        </is>
      </c>
    </row>
    <row r="157">
      <c r="A157" s="28" t="inlineStr">
        <is>
          <t>8964002758746</t>
        </is>
      </c>
      <c r="B157" s="15" t="inlineStr">
        <is>
          <t>MARIE BISCUIT</t>
        </is>
      </c>
      <c r="C157" s="15" t="inlineStr">
        <is>
          <t>Biscuits &amp; Bakery</t>
        </is>
      </c>
      <c r="D157" s="15" t="inlineStr">
        <is>
          <t>Biscuit</t>
        </is>
      </c>
      <c r="E157" s="18" t="n">
        <v>37</v>
      </c>
      <c r="F157" s="18" t="n">
        <v>40</v>
      </c>
      <c r="G157" s="18">
        <f>F157-E157</f>
        <v/>
      </c>
      <c r="H157" s="29" t="n">
        <v>9</v>
      </c>
      <c r="I157" s="18">
        <f>E157*H157</f>
        <v/>
      </c>
      <c r="J157" s="18">
        <f>F157*H157</f>
        <v/>
      </c>
      <c r="K157" s="28">
        <f>IF(H157&lt;=0, "Out of Stock", IF(H157&lt;=5, "Low Stock", "In Stock"))</f>
        <v/>
      </c>
      <c r="L157" s="28" t="inlineStr">
        <is>
          <t>2025-07-20 02:34 PM</t>
        </is>
      </c>
    </row>
    <row r="158">
      <c r="A158" s="26" t="inlineStr">
        <is>
          <t>8961003652318</t>
        </is>
      </c>
      <c r="B158" s="10" t="inlineStr">
        <is>
          <t>OREO CHOCOLATE 38 G</t>
        </is>
      </c>
      <c r="C158" s="10" t="inlineStr">
        <is>
          <t>Biscuits &amp; Bakery</t>
        </is>
      </c>
      <c r="D158" s="10" t="inlineStr">
        <is>
          <t>Biscuit</t>
        </is>
      </c>
      <c r="E158" s="13" t="n">
        <v>34.03</v>
      </c>
      <c r="F158" s="13" t="n">
        <v>40</v>
      </c>
      <c r="G158" s="13">
        <f>F158-E158</f>
        <v/>
      </c>
      <c r="H158" s="27" t="n">
        <v>105</v>
      </c>
      <c r="I158" s="13">
        <f>E158*H158</f>
        <v/>
      </c>
      <c r="J158" s="13">
        <f>F158*H158</f>
        <v/>
      </c>
      <c r="K158" s="26">
        <f>IF(H158&lt;=0, "Out of Stock", IF(H158&lt;=5, "Low Stock", "In Stock"))</f>
        <v/>
      </c>
      <c r="L158" s="26" t="inlineStr">
        <is>
          <t>2025-07-26 08:55 AM</t>
        </is>
      </c>
    </row>
    <row r="159">
      <c r="A159" s="28" t="inlineStr">
        <is>
          <t>8964002527229</t>
        </is>
      </c>
      <c r="B159" s="15" t="inlineStr">
        <is>
          <t>ORIGINAL SANDWICH CHOCOLATE</t>
        </is>
      </c>
      <c r="C159" s="15" t="inlineStr">
        <is>
          <t>Biscuits &amp; Bakery</t>
        </is>
      </c>
      <c r="D159" s="15" t="inlineStr">
        <is>
          <t>Biscuit</t>
        </is>
      </c>
      <c r="E159" s="18" t="n">
        <v>36.43</v>
      </c>
      <c r="F159" s="18" t="n">
        <v>40</v>
      </c>
      <c r="G159" s="18">
        <f>F159-E159</f>
        <v/>
      </c>
      <c r="H159" s="29" t="n">
        <v>4</v>
      </c>
      <c r="I159" s="18">
        <f>E159*H159</f>
        <v/>
      </c>
      <c r="J159" s="18">
        <f>F159*H159</f>
        <v/>
      </c>
      <c r="K159" s="28">
        <f>IF(H159&lt;=0, "Out of Stock", IF(H159&lt;=5, "Low Stock", "In Stock"))</f>
        <v/>
      </c>
      <c r="L159" s="28" t="inlineStr">
        <is>
          <t>2025-07-14 08:42 AM</t>
        </is>
      </c>
    </row>
    <row r="160">
      <c r="A160" s="26" t="inlineStr">
        <is>
          <t>8964002526376</t>
        </is>
      </c>
      <c r="B160" s="10" t="inlineStr">
        <is>
          <t>ORIGINAL SANDWICH LEMON SM</t>
        </is>
      </c>
      <c r="C160" s="10" t="inlineStr">
        <is>
          <t>Biscuits &amp; Bakery</t>
        </is>
      </c>
      <c r="D160" s="10" t="inlineStr">
        <is>
          <t>Biscuit</t>
        </is>
      </c>
      <c r="E160" s="13" t="n">
        <v>17.87</v>
      </c>
      <c r="F160" s="13" t="n">
        <v>20</v>
      </c>
      <c r="G160" s="13">
        <f>F160-E160</f>
        <v/>
      </c>
      <c r="H160" s="27" t="n">
        <v>66</v>
      </c>
      <c r="I160" s="13">
        <f>E160*H160</f>
        <v/>
      </c>
      <c r="J160" s="13">
        <f>F160*H160</f>
        <v/>
      </c>
      <c r="K160" s="26">
        <f>IF(H160&lt;=0, "Out of Stock", IF(H160&lt;=5, "Low Stock", "In Stock"))</f>
        <v/>
      </c>
      <c r="L160" s="26" t="inlineStr">
        <is>
          <t>2025-07-14 08:44 AM</t>
        </is>
      </c>
    </row>
    <row r="161">
      <c r="A161" s="28" t="inlineStr">
        <is>
          <t>8964002527212</t>
        </is>
      </c>
      <c r="B161" s="15" t="inlineStr">
        <is>
          <t>ORIGINAL SANDWISH LEMON</t>
        </is>
      </c>
      <c r="C161" s="15" t="inlineStr">
        <is>
          <t>Biscuits &amp; Bakery</t>
        </is>
      </c>
      <c r="D161" s="15" t="inlineStr">
        <is>
          <t>Biscuit</t>
        </is>
      </c>
      <c r="E161" s="18" t="n">
        <v>36.33</v>
      </c>
      <c r="F161" s="18" t="n">
        <v>40</v>
      </c>
      <c r="G161" s="18">
        <f>F161-E161</f>
        <v/>
      </c>
      <c r="H161" s="29" t="n">
        <v>54</v>
      </c>
      <c r="I161" s="18">
        <f>E161*H161</f>
        <v/>
      </c>
      <c r="J161" s="18">
        <f>F161*H161</f>
        <v/>
      </c>
      <c r="K161" s="28">
        <f>IF(H161&lt;=0, "Out of Stock", IF(H161&lt;=5, "Low Stock", "In Stock"))</f>
        <v/>
      </c>
      <c r="L161" s="28" t="inlineStr">
        <is>
          <t>2025-07-14 08:43 AM</t>
        </is>
      </c>
    </row>
    <row r="162">
      <c r="A162" s="26" t="inlineStr">
        <is>
          <t>8964002527496</t>
        </is>
      </c>
      <c r="B162" s="10" t="inlineStr">
        <is>
          <t>PARTY PICK 55G</t>
        </is>
      </c>
      <c r="C162" s="10" t="inlineStr">
        <is>
          <t>Biscuits &amp; Bakery</t>
        </is>
      </c>
      <c r="D162" s="10" t="inlineStr">
        <is>
          <t>Biscuit</t>
        </is>
      </c>
      <c r="E162" s="13" t="n">
        <v>37</v>
      </c>
      <c r="F162" s="13" t="n">
        <v>40</v>
      </c>
      <c r="G162" s="13">
        <f>F162-E162</f>
        <v/>
      </c>
      <c r="H162" s="27" t="n">
        <v>56</v>
      </c>
      <c r="I162" s="13">
        <f>E162*H162</f>
        <v/>
      </c>
      <c r="J162" s="13">
        <f>F162*H162</f>
        <v/>
      </c>
      <c r="K162" s="26">
        <f>IF(H162&lt;=0, "Out of Stock", IF(H162&lt;=5, "Low Stock", "In Stock"))</f>
        <v/>
      </c>
      <c r="L162" s="26" t="inlineStr">
        <is>
          <t>2025-07-18 09:30 AM</t>
        </is>
      </c>
    </row>
    <row r="163">
      <c r="A163" s="28" t="inlineStr">
        <is>
          <t>8964002759293</t>
        </is>
      </c>
      <c r="B163" s="15" t="inlineStr">
        <is>
          <t>PEANUT PICK RS.40</t>
        </is>
      </c>
      <c r="C163" s="15" t="inlineStr">
        <is>
          <t>Biscuits &amp; Bakery</t>
        </is>
      </c>
      <c r="D163" s="15" t="inlineStr">
        <is>
          <t>Biscuit</t>
        </is>
      </c>
      <c r="E163" s="18" t="n">
        <v>36.65</v>
      </c>
      <c r="F163" s="18" t="n">
        <v>40</v>
      </c>
      <c r="G163" s="18">
        <f>F163-E163</f>
        <v/>
      </c>
      <c r="H163" s="29" t="n">
        <v>49</v>
      </c>
      <c r="I163" s="18">
        <f>E163*H163</f>
        <v/>
      </c>
      <c r="J163" s="18">
        <f>F163*H163</f>
        <v/>
      </c>
      <c r="K163" s="28">
        <f>IF(H163&lt;=0, "Out of Stock", IF(H163&lt;=5, "Low Stock", "In Stock"))</f>
        <v/>
      </c>
      <c r="L163" s="28" t="inlineStr">
        <is>
          <t>2025-07-18 07:27 AM</t>
        </is>
      </c>
    </row>
    <row r="164">
      <c r="A164" s="26" t="inlineStr">
        <is>
          <t>8964002759378</t>
        </is>
      </c>
      <c r="B164" s="10" t="inlineStr">
        <is>
          <t>PISTA PICK BISCUIT</t>
        </is>
      </c>
      <c r="C164" s="10" t="inlineStr">
        <is>
          <t>Biscuits &amp; Bakery</t>
        </is>
      </c>
      <c r="D164" s="10" t="inlineStr">
        <is>
          <t>Biscuit</t>
        </is>
      </c>
      <c r="E164" s="13" t="n">
        <v>37</v>
      </c>
      <c r="F164" s="13" t="n">
        <v>40</v>
      </c>
      <c r="G164" s="13">
        <f>F164-E164</f>
        <v/>
      </c>
      <c r="H164" s="27" t="n">
        <v>19</v>
      </c>
      <c r="I164" s="13">
        <f>E164*H164</f>
        <v/>
      </c>
      <c r="J164" s="13">
        <f>F164*H164</f>
        <v/>
      </c>
      <c r="K164" s="26">
        <f>IF(H164&lt;=0, "Out of Stock", IF(H164&lt;=5, "Low Stock", "In Stock"))</f>
        <v/>
      </c>
      <c r="L164" s="26" t="inlineStr">
        <is>
          <t>2025-07-20 12:19 PM</t>
        </is>
      </c>
    </row>
    <row r="165">
      <c r="A165" s="28" t="inlineStr">
        <is>
          <t>8961003512254</t>
        </is>
      </c>
      <c r="B165" s="15" t="inlineStr">
        <is>
          <t>PRINCE CHOCOLATE 57G</t>
        </is>
      </c>
      <c r="C165" s="15" t="inlineStr">
        <is>
          <t>Biscuits &amp; Bakery</t>
        </is>
      </c>
      <c r="D165" s="15" t="inlineStr">
        <is>
          <t>Biscuit</t>
        </is>
      </c>
      <c r="E165" s="18" t="n">
        <v>42.69</v>
      </c>
      <c r="F165" s="18" t="n">
        <v>50</v>
      </c>
      <c r="G165" s="18">
        <f>F165-E165</f>
        <v/>
      </c>
      <c r="H165" s="29" t="n">
        <v>62</v>
      </c>
      <c r="I165" s="18">
        <f>E165*H165</f>
        <v/>
      </c>
      <c r="J165" s="18">
        <f>F165*H165</f>
        <v/>
      </c>
      <c r="K165" s="28">
        <f>IF(H165&lt;=0, "Out of Stock", IF(H165&lt;=5, "Low Stock", "In Stock"))</f>
        <v/>
      </c>
      <c r="L165" s="28" t="inlineStr">
        <is>
          <t>2025-07-16 12:00 PM</t>
        </is>
      </c>
    </row>
    <row r="166">
      <c r="A166" s="26" t="inlineStr">
        <is>
          <t>8964002759132</t>
        </is>
      </c>
      <c r="B166" s="10" t="inlineStr">
        <is>
          <t>RIO DOUBLE CHOCOLATE</t>
        </is>
      </c>
      <c r="C166" s="10" t="inlineStr">
        <is>
          <t>Biscuits &amp; Bakery</t>
        </is>
      </c>
      <c r="D166" s="10" t="inlineStr">
        <is>
          <t>Biscuit</t>
        </is>
      </c>
      <c r="E166" s="13" t="n">
        <v>36.31</v>
      </c>
      <c r="F166" s="13" t="n">
        <v>40</v>
      </c>
      <c r="G166" s="13">
        <f>F166-E166</f>
        <v/>
      </c>
      <c r="H166" s="27" t="n">
        <v>62</v>
      </c>
      <c r="I166" s="13">
        <f>E166*H166</f>
        <v/>
      </c>
      <c r="J166" s="13">
        <f>F166*H166</f>
        <v/>
      </c>
      <c r="K166" s="26">
        <f>IF(H166&lt;=0, "Out of Stock", IF(H166&lt;=5, "Low Stock", "In Stock"))</f>
        <v/>
      </c>
      <c r="L166" s="26" t="inlineStr">
        <is>
          <t>2025-07-14 08:20 AM</t>
        </is>
      </c>
    </row>
    <row r="167">
      <c r="A167" s="28" t="inlineStr">
        <is>
          <t>8964002759095</t>
        </is>
      </c>
      <c r="B167" s="15" t="inlineStr">
        <is>
          <t>RIO STRABERRY VANILLA BISCUIT</t>
        </is>
      </c>
      <c r="C167" s="15" t="inlineStr">
        <is>
          <t>Biscuits &amp; Bakery</t>
        </is>
      </c>
      <c r="D167" s="15" t="inlineStr">
        <is>
          <t>Biscuit</t>
        </is>
      </c>
      <c r="E167" s="18" t="n">
        <v>36.6</v>
      </c>
      <c r="F167" s="18" t="n">
        <v>40</v>
      </c>
      <c r="G167" s="18">
        <f>F167-E167</f>
        <v/>
      </c>
      <c r="H167" s="29" t="n">
        <v>43</v>
      </c>
      <c r="I167" s="18">
        <f>E167*H167</f>
        <v/>
      </c>
      <c r="J167" s="18">
        <f>F167*H167</f>
        <v/>
      </c>
      <c r="K167" s="28">
        <f>IF(H167&lt;=0, "Out of Stock", IF(H167&lt;=5, "Low Stock", "In Stock"))</f>
        <v/>
      </c>
      <c r="L167" s="28" t="inlineStr">
        <is>
          <t>2025-07-14 08:28 AM</t>
        </is>
      </c>
    </row>
    <row r="168">
      <c r="A168" s="26" t="inlineStr">
        <is>
          <t>6156294393244</t>
        </is>
      </c>
      <c r="B168" s="10" t="inlineStr">
        <is>
          <t>SETAK BISCUIT</t>
        </is>
      </c>
      <c r="C168" s="10" t="inlineStr">
        <is>
          <t>Biscuits &amp; Bakery</t>
        </is>
      </c>
      <c r="D168" s="10" t="inlineStr">
        <is>
          <t>Biscuit</t>
        </is>
      </c>
      <c r="E168" s="13" t="n">
        <v>80</v>
      </c>
      <c r="F168" s="13" t="n">
        <v>100</v>
      </c>
      <c r="G168" s="13">
        <f>F168-E168</f>
        <v/>
      </c>
      <c r="H168" s="27" t="n">
        <v>0</v>
      </c>
      <c r="I168" s="13">
        <f>E168*H168</f>
        <v/>
      </c>
      <c r="J168" s="13">
        <f>F168*H168</f>
        <v/>
      </c>
      <c r="K168" s="26">
        <f>IF(H168&lt;=0, "Out of Stock", IF(H168&lt;=5, "Low Stock", "In Stock"))</f>
        <v/>
      </c>
      <c r="L168" s="26" t="inlineStr">
        <is>
          <t>2025-07-17 05:18 PM</t>
        </is>
      </c>
    </row>
    <row r="169">
      <c r="A169" s="28" t="inlineStr">
        <is>
          <t>8964002527168</t>
        </is>
      </c>
      <c r="B169" s="15" t="inlineStr">
        <is>
          <t>SOOPER CHOCLATE</t>
        </is>
      </c>
      <c r="C169" s="15" t="inlineStr">
        <is>
          <t>Biscuits &amp; Bakery</t>
        </is>
      </c>
      <c r="D169" s="15" t="inlineStr">
        <is>
          <t>Biscuit</t>
        </is>
      </c>
      <c r="E169" s="18" t="n">
        <v>37</v>
      </c>
      <c r="F169" s="18" t="n">
        <v>40</v>
      </c>
      <c r="G169" s="18">
        <f>F169-E169</f>
        <v/>
      </c>
      <c r="H169" s="29" t="n">
        <v>46</v>
      </c>
      <c r="I169" s="18">
        <f>E169*H169</f>
        <v/>
      </c>
      <c r="J169" s="18">
        <f>F169*H169</f>
        <v/>
      </c>
      <c r="K169" s="28">
        <f>IF(H169&lt;=0, "Out of Stock", IF(H169&lt;=5, "Low Stock", "In Stock"))</f>
        <v/>
      </c>
      <c r="L169" s="28" t="inlineStr">
        <is>
          <t>2025-07-14 08:34 AM</t>
        </is>
      </c>
    </row>
    <row r="170">
      <c r="A170" s="26" t="inlineStr">
        <is>
          <t>8964002527151</t>
        </is>
      </c>
      <c r="B170" s="10" t="inlineStr">
        <is>
          <t>SOOPER CLASSIC HR</t>
        </is>
      </c>
      <c r="C170" s="10" t="inlineStr">
        <is>
          <t>Biscuits &amp; Bakery</t>
        </is>
      </c>
      <c r="D170" s="10" t="inlineStr">
        <is>
          <t>Biscuit</t>
        </is>
      </c>
      <c r="E170" s="13" t="n">
        <v>36.73</v>
      </c>
      <c r="F170" s="13" t="n">
        <v>40</v>
      </c>
      <c r="G170" s="13">
        <f>F170-E170</f>
        <v/>
      </c>
      <c r="H170" s="27" t="n">
        <v>66</v>
      </c>
      <c r="I170" s="13">
        <f>E170*H170</f>
        <v/>
      </c>
      <c r="J170" s="13">
        <f>F170*H170</f>
        <v/>
      </c>
      <c r="K170" s="26">
        <f>IF(H170&lt;=0, "Out of Stock", IF(H170&lt;=5, "Low Stock", "In Stock"))</f>
        <v/>
      </c>
      <c r="L170" s="26" t="inlineStr">
        <is>
          <t>2025-07-14 08:33 AM</t>
        </is>
      </c>
    </row>
    <row r="171">
      <c r="A171" s="28" t="inlineStr">
        <is>
          <t>8964002526048</t>
        </is>
      </c>
      <c r="B171" s="15" t="inlineStr">
        <is>
          <t>SOOPER CLASSIC SMALL</t>
        </is>
      </c>
      <c r="C171" s="15" t="inlineStr">
        <is>
          <t>Biscuits &amp; Bakery</t>
        </is>
      </c>
      <c r="D171" s="15" t="inlineStr">
        <is>
          <t>Biscuit</t>
        </is>
      </c>
      <c r="E171" s="18" t="n">
        <v>18</v>
      </c>
      <c r="F171" s="18" t="n">
        <v>20</v>
      </c>
      <c r="G171" s="18">
        <f>F171-E171</f>
        <v/>
      </c>
      <c r="H171" s="29" t="n">
        <v>106</v>
      </c>
      <c r="I171" s="18">
        <f>E171*H171</f>
        <v/>
      </c>
      <c r="J171" s="18">
        <f>F171*H171</f>
        <v/>
      </c>
      <c r="K171" s="28">
        <f>IF(H171&lt;=0, "Out of Stock", IF(H171&lt;=5, "Low Stock", "In Stock"))</f>
        <v/>
      </c>
      <c r="L171" s="28" t="inlineStr">
        <is>
          <t>2025-07-14 08:31 AM</t>
        </is>
      </c>
    </row>
    <row r="172">
      <c r="A172" s="26" t="inlineStr">
        <is>
          <t>8961003552274</t>
        </is>
      </c>
      <c r="B172" s="10" t="inlineStr">
        <is>
          <t>SP OREO ORIGINAL 38G</t>
        </is>
      </c>
      <c r="C172" s="10" t="inlineStr">
        <is>
          <t>Biscuits &amp; Bakery</t>
        </is>
      </c>
      <c r="D172" s="10" t="inlineStr">
        <is>
          <t>Biscuit</t>
        </is>
      </c>
      <c r="E172" s="13" t="n">
        <v>34.43</v>
      </c>
      <c r="F172" s="13" t="n">
        <v>40</v>
      </c>
      <c r="G172" s="13">
        <f>F172-E172</f>
        <v/>
      </c>
      <c r="H172" s="27" t="n">
        <v>53</v>
      </c>
      <c r="I172" s="13">
        <f>E172*H172</f>
        <v/>
      </c>
      <c r="J172" s="13">
        <f>F172*H172</f>
        <v/>
      </c>
      <c r="K172" s="26">
        <f>IF(H172&lt;=0, "Out of Stock", IF(H172&lt;=5, "Low Stock", "In Stock"))</f>
        <v/>
      </c>
      <c r="L172" s="26" t="inlineStr">
        <is>
          <t>2025-07-16 12:20 PM</t>
        </is>
      </c>
    </row>
    <row r="173">
      <c r="A173" s="28" t="inlineStr">
        <is>
          <t>8961003694271</t>
        </is>
      </c>
      <c r="B173" s="15" t="inlineStr">
        <is>
          <t>TIGER BISCUIT RS.10</t>
        </is>
      </c>
      <c r="C173" s="15" t="inlineStr">
        <is>
          <t>Biscuits &amp; Bakery</t>
        </is>
      </c>
      <c r="D173" s="15" t="inlineStr">
        <is>
          <t>Biscuit</t>
        </is>
      </c>
      <c r="E173" s="18" t="n">
        <v>8</v>
      </c>
      <c r="F173" s="18" t="n">
        <v>10</v>
      </c>
      <c r="G173" s="18">
        <f>F173-E173</f>
        <v/>
      </c>
      <c r="H173" s="29" t="n">
        <v>16</v>
      </c>
      <c r="I173" s="18">
        <f>E173*H173</f>
        <v/>
      </c>
      <c r="J173" s="18">
        <f>F173*H173</f>
        <v/>
      </c>
      <c r="K173" s="28">
        <f>IF(H173&lt;=0, "Out of Stock", IF(H173&lt;=5, "Low Stock", "In Stock"))</f>
        <v/>
      </c>
      <c r="L173" s="28" t="inlineStr">
        <is>
          <t>2025-08-02 09:46 AM</t>
        </is>
      </c>
    </row>
    <row r="174">
      <c r="A174" s="26" t="inlineStr">
        <is>
          <t>8961003624575</t>
        </is>
      </c>
      <c r="B174" s="10" t="inlineStr">
        <is>
          <t>TUC 22 G</t>
        </is>
      </c>
      <c r="C174" s="10" t="inlineStr">
        <is>
          <t>Biscuits &amp; Bakery</t>
        </is>
      </c>
      <c r="D174" s="10" t="inlineStr">
        <is>
          <t>Biscuit</t>
        </is>
      </c>
      <c r="E174" s="13" t="n">
        <v>18</v>
      </c>
      <c r="F174" s="13" t="n">
        <v>20</v>
      </c>
      <c r="G174" s="13">
        <f>F174-E174</f>
        <v/>
      </c>
      <c r="H174" s="27" t="n">
        <v>2</v>
      </c>
      <c r="I174" s="13">
        <f>E174*H174</f>
        <v/>
      </c>
      <c r="J174" s="13">
        <f>F174*H174</f>
        <v/>
      </c>
      <c r="K174" s="26">
        <f>IF(H174&lt;=0, "Out of Stock", IF(H174&lt;=5, "Low Stock", "In Stock"))</f>
        <v/>
      </c>
      <c r="L174" s="26" t="inlineStr">
        <is>
          <t>2025-07-18 09:50 AM</t>
        </is>
      </c>
    </row>
    <row r="175">
      <c r="A175" s="28" t="inlineStr">
        <is>
          <t>8961003525674</t>
        </is>
      </c>
      <c r="B175" s="15" t="inlineStr">
        <is>
          <t>TUC 44.16G</t>
        </is>
      </c>
      <c r="C175" s="15" t="inlineStr">
        <is>
          <t>Biscuits &amp; Bakery</t>
        </is>
      </c>
      <c r="D175" s="15" t="inlineStr">
        <is>
          <t>Biscuit</t>
        </is>
      </c>
      <c r="E175" s="18" t="n">
        <v>35.88</v>
      </c>
      <c r="F175" s="18" t="n">
        <v>40</v>
      </c>
      <c r="G175" s="18">
        <f>F175-E175</f>
        <v/>
      </c>
      <c r="H175" s="29" t="n">
        <v>40</v>
      </c>
      <c r="I175" s="18">
        <f>E175*H175</f>
        <v/>
      </c>
      <c r="J175" s="18">
        <f>F175*H175</f>
        <v/>
      </c>
      <c r="K175" s="28">
        <f>IF(H175&lt;=0, "Out of Stock", IF(H175&lt;=5, "Low Stock", "In Stock"))</f>
        <v/>
      </c>
      <c r="L175" s="28" t="inlineStr">
        <is>
          <t>2025-07-16 12:18 PM</t>
        </is>
      </c>
    </row>
    <row r="176">
      <c r="A176" s="26" t="inlineStr">
        <is>
          <t>8961003542985</t>
        </is>
      </c>
      <c r="B176" s="10" t="inlineStr">
        <is>
          <t>ZEERA PLUS 54G</t>
        </is>
      </c>
      <c r="C176" s="10" t="inlineStr">
        <is>
          <t>Biscuits &amp; Bakery</t>
        </is>
      </c>
      <c r="D176" s="10" t="inlineStr">
        <is>
          <t>Biscuit</t>
        </is>
      </c>
      <c r="E176" s="13" t="n">
        <v>36</v>
      </c>
      <c r="F176" s="13" t="n">
        <v>40</v>
      </c>
      <c r="G176" s="13">
        <f>F176-E176</f>
        <v/>
      </c>
      <c r="H176" s="27" t="n">
        <v>48</v>
      </c>
      <c r="I176" s="13">
        <f>E176*H176</f>
        <v/>
      </c>
      <c r="J176" s="13">
        <f>F176*H176</f>
        <v/>
      </c>
      <c r="K176" s="26">
        <f>IF(H176&lt;=0, "Out of Stock", IF(H176&lt;=5, "Low Stock", "In Stock"))</f>
        <v/>
      </c>
      <c r="L176" s="26" t="inlineStr">
        <is>
          <t>2025-07-16 12:16 PM</t>
        </is>
      </c>
    </row>
    <row r="177">
      <c r="A177" s="28" t="inlineStr">
        <is>
          <t>8961003020315</t>
        </is>
      </c>
      <c r="B177" s="15" t="inlineStr">
        <is>
          <t>CANDIE ORIGINAL BISCUIT 58G</t>
        </is>
      </c>
      <c r="C177" s="15" t="inlineStr">
        <is>
          <t>Biscuits &amp; Bakery</t>
        </is>
      </c>
      <c r="D177" s="15" t="inlineStr">
        <is>
          <t>Bisscuit</t>
        </is>
      </c>
      <c r="E177" s="18" t="n">
        <v>37</v>
      </c>
      <c r="F177" s="18" t="n">
        <v>40</v>
      </c>
      <c r="G177" s="18">
        <f>F177-E177</f>
        <v/>
      </c>
      <c r="H177" s="29" t="n">
        <v>89</v>
      </c>
      <c r="I177" s="18">
        <f>E177*H177</f>
        <v/>
      </c>
      <c r="J177" s="18">
        <f>F177*H177</f>
        <v/>
      </c>
      <c r="K177" s="28">
        <f>IF(H177&lt;=0, "Out of Stock", IF(H177&lt;=5, "Low Stock", "In Stock"))</f>
        <v/>
      </c>
      <c r="L177" s="28" t="inlineStr">
        <is>
          <t>2025-07-18 06:53 PM</t>
        </is>
      </c>
    </row>
    <row r="178">
      <c r="A178" s="26" t="inlineStr">
        <is>
          <t>6156298624740</t>
        </is>
      </c>
      <c r="B178" s="10" t="inlineStr">
        <is>
          <t>DIGESTIVE BISCUIT 190 GM</t>
        </is>
      </c>
      <c r="C178" s="10" t="inlineStr">
        <is>
          <t>Biscuits &amp; Bakery</t>
        </is>
      </c>
      <c r="D178" s="10" t="inlineStr">
        <is>
          <t>Bisscuit</t>
        </is>
      </c>
      <c r="E178" s="13" t="n">
        <v>93</v>
      </c>
      <c r="F178" s="13" t="n">
        <v>120</v>
      </c>
      <c r="G178" s="13">
        <f>F178-E178</f>
        <v/>
      </c>
      <c r="H178" s="27" t="n">
        <v>19</v>
      </c>
      <c r="I178" s="13">
        <f>E178*H178</f>
        <v/>
      </c>
      <c r="J178" s="13">
        <f>F178*H178</f>
        <v/>
      </c>
      <c r="K178" s="26">
        <f>IF(H178&lt;=0, "Out of Stock", IF(H178&lt;=5, "Low Stock", "In Stock"))</f>
        <v/>
      </c>
      <c r="L178" s="26" t="inlineStr">
        <is>
          <t>2025-07-17 05:20 PM</t>
        </is>
      </c>
    </row>
    <row r="179">
      <c r="A179" s="28" t="inlineStr">
        <is>
          <t>89635310050508</t>
        </is>
      </c>
      <c r="B179" s="15" t="inlineStr">
        <is>
          <t>INOVATIVE DIGESTIVE</t>
        </is>
      </c>
      <c r="C179" s="15" t="inlineStr">
        <is>
          <t>Biscuits &amp; Bakery</t>
        </is>
      </c>
      <c r="D179" s="15" t="inlineStr">
        <is>
          <t>Bisscuit</t>
        </is>
      </c>
      <c r="E179" s="18" t="n">
        <v>36.25</v>
      </c>
      <c r="F179" s="18" t="n">
        <v>40</v>
      </c>
      <c r="G179" s="18">
        <f>F179-E179</f>
        <v/>
      </c>
      <c r="H179" s="29" t="n">
        <v>21</v>
      </c>
      <c r="I179" s="18">
        <f>E179*H179</f>
        <v/>
      </c>
      <c r="J179" s="18">
        <f>F179*H179</f>
        <v/>
      </c>
      <c r="K179" s="28">
        <f>IF(H179&lt;=0, "Out of Stock", IF(H179&lt;=5, "Low Stock", "In Stock"))</f>
        <v/>
      </c>
      <c r="L179" s="28" t="inlineStr">
        <is>
          <t>2025-07-18 09:47 AM</t>
        </is>
      </c>
    </row>
    <row r="180">
      <c r="A180" s="26" t="inlineStr">
        <is>
          <t>162300989900022</t>
        </is>
      </c>
      <c r="B180" s="10" t="inlineStr">
        <is>
          <t>JOMANEH SUGER FREE BISCUIT</t>
        </is>
      </c>
      <c r="C180" s="10" t="inlineStr">
        <is>
          <t>Biscuits &amp; Bakery</t>
        </is>
      </c>
      <c r="D180" s="10" t="inlineStr">
        <is>
          <t>Bisscuit</t>
        </is>
      </c>
      <c r="E180" s="13" t="n">
        <v>280</v>
      </c>
      <c r="F180" s="13" t="n">
        <v>350</v>
      </c>
      <c r="G180" s="13">
        <f>F180-E180</f>
        <v/>
      </c>
      <c r="H180" s="27" t="n">
        <v>4</v>
      </c>
      <c r="I180" s="13">
        <f>E180*H180</f>
        <v/>
      </c>
      <c r="J180" s="13">
        <f>F180*H180</f>
        <v/>
      </c>
      <c r="K180" s="26">
        <f>IF(H180&lt;=0, "Out of Stock", IF(H180&lt;=5, "Low Stock", "In Stock"))</f>
        <v/>
      </c>
      <c r="L180" s="26" t="inlineStr">
        <is>
          <t>2025-07-20 02:18 PM</t>
        </is>
      </c>
    </row>
    <row r="181">
      <c r="A181" s="28" t="inlineStr">
        <is>
          <t>764460205671</t>
        </is>
      </c>
      <c r="B181" s="15" t="inlineStr">
        <is>
          <t>BAKE SHAKE CAKE</t>
        </is>
      </c>
      <c r="C181" s="15" t="inlineStr">
        <is>
          <t>Biscuits &amp; Bakery</t>
        </is>
      </c>
      <c r="D181" s="15" t="inlineStr">
        <is>
          <t>Cack</t>
        </is>
      </c>
      <c r="E181" s="18" t="n">
        <v>18</v>
      </c>
      <c r="F181" s="18" t="n">
        <v>20</v>
      </c>
      <c r="G181" s="18">
        <f>F181-E181</f>
        <v/>
      </c>
      <c r="H181" s="29" t="n">
        <v>19</v>
      </c>
      <c r="I181" s="18">
        <f>E181*H181</f>
        <v/>
      </c>
      <c r="J181" s="18">
        <f>F181*H181</f>
        <v/>
      </c>
      <c r="K181" s="28">
        <f>IF(H181&lt;=0, "Out of Stock", IF(H181&lt;=5, "Low Stock", "In Stock"))</f>
        <v/>
      </c>
      <c r="L181" s="28" t="inlineStr">
        <is>
          <t>2025-07-18 10:06 AM</t>
        </is>
      </c>
    </row>
    <row r="182">
      <c r="A182" s="26" t="inlineStr">
        <is>
          <t>764460205657</t>
        </is>
      </c>
      <c r="B182" s="10" t="inlineStr">
        <is>
          <t>BAKE SHAKE DOUBLE CHOCOLATE</t>
        </is>
      </c>
      <c r="C182" s="10" t="inlineStr">
        <is>
          <t>Biscuits &amp; Bakery</t>
        </is>
      </c>
      <c r="D182" s="10" t="inlineStr">
        <is>
          <t>Cack</t>
        </is>
      </c>
      <c r="E182" s="13" t="n">
        <v>18</v>
      </c>
      <c r="F182" s="13" t="n">
        <v>20</v>
      </c>
      <c r="G182" s="13">
        <f>F182-E182</f>
        <v/>
      </c>
      <c r="H182" s="27" t="n">
        <v>0</v>
      </c>
      <c r="I182" s="13">
        <f>E182*H182</f>
        <v/>
      </c>
      <c r="J182" s="13">
        <f>F182*H182</f>
        <v/>
      </c>
      <c r="K182" s="26">
        <f>IF(H182&lt;=0, "Out of Stock", IF(H182&lt;=5, "Low Stock", "In Stock"))</f>
        <v/>
      </c>
      <c r="L182" s="26" t="inlineStr">
        <is>
          <t>2025-07-18 10:07 AM</t>
        </is>
      </c>
    </row>
    <row r="183">
      <c r="A183" s="28" t="inlineStr">
        <is>
          <t>8961100283330</t>
        </is>
      </c>
      <c r="B183" s="15" t="inlineStr">
        <is>
          <t>KAKE STRABERRY CAKE SM</t>
        </is>
      </c>
      <c r="C183" s="15" t="inlineStr">
        <is>
          <t>Biscuits &amp; Bakery</t>
        </is>
      </c>
      <c r="D183" s="15" t="inlineStr">
        <is>
          <t>Cack</t>
        </is>
      </c>
      <c r="E183" s="18" t="n">
        <v>4</v>
      </c>
      <c r="F183" s="18" t="n">
        <v>5</v>
      </c>
      <c r="G183" s="18">
        <f>F183-E183</f>
        <v/>
      </c>
      <c r="H183" s="29" t="n">
        <v>4</v>
      </c>
      <c r="I183" s="18">
        <f>E183*H183</f>
        <v/>
      </c>
      <c r="J183" s="18">
        <f>F183*H183</f>
        <v/>
      </c>
      <c r="K183" s="28">
        <f>IF(H183&lt;=0, "Out of Stock", IF(H183&lt;=5, "Low Stock", "In Stock"))</f>
        <v/>
      </c>
      <c r="L183" s="28" t="inlineStr">
        <is>
          <t>2025-07-18 10:09 AM</t>
        </is>
      </c>
    </row>
    <row r="184">
      <c r="A184" s="26" t="inlineStr">
        <is>
          <t>735745359174</t>
        </is>
      </c>
      <c r="B184" s="10" t="inlineStr">
        <is>
          <t>BAKE SHAKE CAKE CHOCOLATE  HAZ</t>
        </is>
      </c>
      <c r="C184" s="10" t="inlineStr">
        <is>
          <t>Biscuits &amp; Bakery</t>
        </is>
      </c>
      <c r="D184" s="10" t="inlineStr">
        <is>
          <t>Cake</t>
        </is>
      </c>
      <c r="E184" s="13" t="n">
        <v>27</v>
      </c>
      <c r="F184" s="13" t="n">
        <v>30</v>
      </c>
      <c r="G184" s="13">
        <f>F184-E184</f>
        <v/>
      </c>
      <c r="H184" s="27" t="n">
        <v>4</v>
      </c>
      <c r="I184" s="13">
        <f>E184*H184</f>
        <v/>
      </c>
      <c r="J184" s="13">
        <f>F184*H184</f>
        <v/>
      </c>
      <c r="K184" s="26">
        <f>IF(H184&lt;=0, "Out of Stock", IF(H184&lt;=5, "Low Stock", "In Stock"))</f>
        <v/>
      </c>
      <c r="L184" s="26" t="inlineStr">
        <is>
          <t>2025-07-25 07:45 PM</t>
        </is>
      </c>
    </row>
    <row r="185">
      <c r="A185" s="28" t="inlineStr">
        <is>
          <t>764460205664</t>
        </is>
      </c>
      <c r="B185" s="15" t="inlineStr">
        <is>
          <t>BAKE SHAKE CHOCOLATE</t>
        </is>
      </c>
      <c r="C185" s="15" t="inlineStr">
        <is>
          <t>Biscuits &amp; Bakery</t>
        </is>
      </c>
      <c r="D185" s="15" t="inlineStr">
        <is>
          <t>Cake</t>
        </is>
      </c>
      <c r="E185" s="18" t="n">
        <v>18</v>
      </c>
      <c r="F185" s="18" t="n">
        <v>20</v>
      </c>
      <c r="G185" s="18">
        <f>F185-E185</f>
        <v/>
      </c>
      <c r="H185" s="29" t="n">
        <v>10</v>
      </c>
      <c r="I185" s="18">
        <f>E185*H185</f>
        <v/>
      </c>
      <c r="J185" s="18">
        <f>F185*H185</f>
        <v/>
      </c>
      <c r="K185" s="28">
        <f>IF(H185&lt;=0, "Out of Stock", IF(H185&lt;=5, "Low Stock", "In Stock"))</f>
        <v/>
      </c>
      <c r="L185" s="28" t="inlineStr">
        <is>
          <t>2025-07-25 07:42 PM</t>
        </is>
      </c>
    </row>
    <row r="186">
      <c r="A186" s="26" t="inlineStr">
        <is>
          <t>764460205916</t>
        </is>
      </c>
      <c r="B186" s="10" t="inlineStr">
        <is>
          <t>BAKE SHAKE MADELEINE</t>
        </is>
      </c>
      <c r="C186" s="10" t="inlineStr">
        <is>
          <t>Biscuits &amp; Bakery</t>
        </is>
      </c>
      <c r="D186" s="10" t="inlineStr">
        <is>
          <t>Cake</t>
        </is>
      </c>
      <c r="E186" s="13" t="n">
        <v>27</v>
      </c>
      <c r="F186" s="13" t="n">
        <v>30</v>
      </c>
      <c r="G186" s="13">
        <f>F186-E186</f>
        <v/>
      </c>
      <c r="H186" s="27" t="n">
        <v>2</v>
      </c>
      <c r="I186" s="13">
        <f>E186*H186</f>
        <v/>
      </c>
      <c r="J186" s="13">
        <f>F186*H186</f>
        <v/>
      </c>
      <c r="K186" s="26">
        <f>IF(H186&lt;=0, "Out of Stock", IF(H186&lt;=5, "Low Stock", "In Stock"))</f>
        <v/>
      </c>
      <c r="L186" s="26" t="inlineStr">
        <is>
          <t>2025-07-25 07:44 PM</t>
        </is>
      </c>
    </row>
    <row r="187">
      <c r="A187" s="28" t="inlineStr">
        <is>
          <t>8964003593117</t>
        </is>
      </c>
      <c r="B187" s="15" t="inlineStr">
        <is>
          <t>CAKE UP CARAMEL</t>
        </is>
      </c>
      <c r="C187" s="15" t="inlineStr">
        <is>
          <t>Biscuits &amp; Bakery</t>
        </is>
      </c>
      <c r="D187" s="15" t="inlineStr">
        <is>
          <t>Cake</t>
        </is>
      </c>
      <c r="E187" s="18" t="n">
        <v>17.17</v>
      </c>
      <c r="F187" s="18" t="n">
        <v>20</v>
      </c>
      <c r="G187" s="18">
        <f>F187-E187</f>
        <v/>
      </c>
      <c r="H187" s="29" t="n">
        <v>31</v>
      </c>
      <c r="I187" s="18">
        <f>E187*H187</f>
        <v/>
      </c>
      <c r="J187" s="18">
        <f>F187*H187</f>
        <v/>
      </c>
      <c r="K187" s="28">
        <f>IF(H187&lt;=0, "Out of Stock", IF(H187&lt;=5, "Low Stock", "In Stock"))</f>
        <v/>
      </c>
      <c r="L187" s="28" t="inlineStr">
        <is>
          <t>2025-07-14 08:48 AM</t>
        </is>
      </c>
    </row>
    <row r="188">
      <c r="A188" s="26" t="inlineStr">
        <is>
          <t>8964003592004</t>
        </is>
      </c>
      <c r="B188" s="10" t="inlineStr">
        <is>
          <t>CAKE UP CHOCOLATE RS.50</t>
        </is>
      </c>
      <c r="C188" s="10" t="inlineStr">
        <is>
          <t>Biscuits &amp; Bakery</t>
        </is>
      </c>
      <c r="D188" s="10" t="inlineStr">
        <is>
          <t>Cake</t>
        </is>
      </c>
      <c r="E188" s="13" t="n">
        <v>45</v>
      </c>
      <c r="F188" s="13" t="n">
        <v>50</v>
      </c>
      <c r="G188" s="13">
        <f>F188-E188</f>
        <v/>
      </c>
      <c r="H188" s="27" t="n">
        <v>9</v>
      </c>
      <c r="I188" s="13">
        <f>E188*H188</f>
        <v/>
      </c>
      <c r="J188" s="13">
        <f>F188*H188</f>
        <v/>
      </c>
      <c r="K188" s="26">
        <f>IF(H188&lt;=0, "Out of Stock", IF(H188&lt;=5, "Low Stock", "In Stock"))</f>
        <v/>
      </c>
      <c r="L188" s="26" t="inlineStr">
        <is>
          <t>2025-07-23 11:08 AM</t>
        </is>
      </c>
    </row>
    <row r="189">
      <c r="A189" s="28" t="inlineStr">
        <is>
          <t>8964003593131</t>
        </is>
      </c>
      <c r="B189" s="15" t="inlineStr">
        <is>
          <t>CAKE UP DOUBLE CHOCOLATE</t>
        </is>
      </c>
      <c r="C189" s="15" t="inlineStr">
        <is>
          <t>Biscuits &amp; Bakery</t>
        </is>
      </c>
      <c r="D189" s="15" t="inlineStr">
        <is>
          <t>Cake</t>
        </is>
      </c>
      <c r="E189" s="18" t="n">
        <v>18</v>
      </c>
      <c r="F189" s="18" t="n">
        <v>20</v>
      </c>
      <c r="G189" s="18">
        <f>F189-E189</f>
        <v/>
      </c>
      <c r="H189" s="29" t="n">
        <v>40</v>
      </c>
      <c r="I189" s="18">
        <f>E189*H189</f>
        <v/>
      </c>
      <c r="J189" s="18">
        <f>F189*H189</f>
        <v/>
      </c>
      <c r="K189" s="28">
        <f>IF(H189&lt;=0, "Out of Stock", IF(H189&lt;=5, "Low Stock", "In Stock"))</f>
        <v/>
      </c>
      <c r="L189" s="28" t="inlineStr">
        <is>
          <t>2025-07-23 11:10 AM</t>
        </is>
      </c>
    </row>
    <row r="190">
      <c r="A190" s="26" t="inlineStr">
        <is>
          <t>8964003593070</t>
        </is>
      </c>
      <c r="B190" s="10" t="inlineStr">
        <is>
          <t>CAKE UP STRABERRY</t>
        </is>
      </c>
      <c r="C190" s="10" t="inlineStr">
        <is>
          <t>Biscuits &amp; Bakery</t>
        </is>
      </c>
      <c r="D190" s="10" t="inlineStr">
        <is>
          <t>Cake</t>
        </is>
      </c>
      <c r="E190" s="13" t="n">
        <v>17.98</v>
      </c>
      <c r="F190" s="13" t="n">
        <v>20</v>
      </c>
      <c r="G190" s="13">
        <f>F190-E190</f>
        <v/>
      </c>
      <c r="H190" s="27" t="n">
        <v>38</v>
      </c>
      <c r="I190" s="13">
        <f>E190*H190</f>
        <v/>
      </c>
      <c r="J190" s="13">
        <f>F190*H190</f>
        <v/>
      </c>
      <c r="K190" s="26">
        <f>IF(H190&lt;=0, "Out of Stock", IF(H190&lt;=5, "Low Stock", "In Stock"))</f>
        <v/>
      </c>
      <c r="L190" s="26" t="inlineStr">
        <is>
          <t>2025-07-14 08:50 AM</t>
        </is>
      </c>
    </row>
    <row r="191">
      <c r="A191" s="28" t="inlineStr">
        <is>
          <t>8961101819569</t>
        </is>
      </c>
      <c r="B191" s="15" t="inlineStr">
        <is>
          <t>FRUIT CAKE 180G</t>
        </is>
      </c>
      <c r="C191" s="15" t="inlineStr">
        <is>
          <t>Biscuits &amp; Bakery</t>
        </is>
      </c>
      <c r="D191" s="15" t="inlineStr">
        <is>
          <t>Cake</t>
        </is>
      </c>
      <c r="E191" s="18" t="n">
        <v>170</v>
      </c>
      <c r="F191" s="18" t="n">
        <v>200</v>
      </c>
      <c r="G191" s="18">
        <f>F191-E191</f>
        <v/>
      </c>
      <c r="H191" s="29" t="n">
        <v>0</v>
      </c>
      <c r="I191" s="18">
        <f>E191*H191</f>
        <v/>
      </c>
      <c r="J191" s="18">
        <f>F191*H191</f>
        <v/>
      </c>
      <c r="K191" s="28">
        <f>IF(H191&lt;=0, "Out of Stock", IF(H191&lt;=5, "Low Stock", "In Stock"))</f>
        <v/>
      </c>
      <c r="L191" s="28" t="inlineStr">
        <is>
          <t>2025-07-21 09:39 AM</t>
        </is>
      </c>
    </row>
    <row r="192">
      <c r="A192" s="26" t="inlineStr">
        <is>
          <t>8961101819552</t>
        </is>
      </c>
      <c r="B192" s="10" t="inlineStr">
        <is>
          <t>FRUIT CAKE 90G</t>
        </is>
      </c>
      <c r="C192" s="10" t="inlineStr">
        <is>
          <t>Biscuits &amp; Bakery</t>
        </is>
      </c>
      <c r="D192" s="10" t="inlineStr">
        <is>
          <t>Cake</t>
        </is>
      </c>
      <c r="E192" s="13" t="n">
        <v>92</v>
      </c>
      <c r="F192" s="13" t="n">
        <v>110</v>
      </c>
      <c r="G192" s="13">
        <f>F192-E192</f>
        <v/>
      </c>
      <c r="H192" s="27" t="n">
        <v>0</v>
      </c>
      <c r="I192" s="13">
        <f>E192*H192</f>
        <v/>
      </c>
      <c r="J192" s="13">
        <f>F192*H192</f>
        <v/>
      </c>
      <c r="K192" s="26">
        <f>IF(H192&lt;=0, "Out of Stock", IF(H192&lt;=5, "Low Stock", "In Stock"))</f>
        <v/>
      </c>
      <c r="L192" s="26" t="inlineStr">
        <is>
          <t>2025-07-25 10:00 AM</t>
        </is>
      </c>
    </row>
    <row r="193">
      <c r="A193" s="28" t="inlineStr">
        <is>
          <t>8964002527380</t>
        </is>
      </c>
      <c r="B193" s="15" t="inlineStr">
        <is>
          <t>GLUCO TEDDY CACK CHOCLATE</t>
        </is>
      </c>
      <c r="C193" s="15" t="inlineStr">
        <is>
          <t>Biscuits &amp; Bakery</t>
        </is>
      </c>
      <c r="D193" s="15" t="inlineStr">
        <is>
          <t>Cake</t>
        </is>
      </c>
      <c r="E193" s="18" t="n">
        <v>36.09</v>
      </c>
      <c r="F193" s="18" t="n">
        <v>40</v>
      </c>
      <c r="G193" s="18">
        <f>F193-E193</f>
        <v/>
      </c>
      <c r="H193" s="29" t="n">
        <v>18</v>
      </c>
      <c r="I193" s="18">
        <f>E193*H193</f>
        <v/>
      </c>
      <c r="J193" s="18">
        <f>F193*H193</f>
        <v/>
      </c>
      <c r="K193" s="28">
        <f>IF(H193&lt;=0, "Out of Stock", IF(H193&lt;=5, "Low Stock", "In Stock"))</f>
        <v/>
      </c>
      <c r="L193" s="28" t="inlineStr">
        <is>
          <t>2025-07-17 05:09 PM</t>
        </is>
      </c>
    </row>
    <row r="194">
      <c r="A194" s="26" t="inlineStr">
        <is>
          <t>8964002527373</t>
        </is>
      </c>
      <c r="B194" s="10" t="inlineStr">
        <is>
          <t>GLUCO TEDDY MILK CREAM</t>
        </is>
      </c>
      <c r="C194" s="10" t="inlineStr">
        <is>
          <t>Biscuits &amp; Bakery</t>
        </is>
      </c>
      <c r="D194" s="10" t="inlineStr">
        <is>
          <t>Cake</t>
        </is>
      </c>
      <c r="E194" s="13" t="n">
        <v>36</v>
      </c>
      <c r="F194" s="13" t="n">
        <v>40</v>
      </c>
      <c r="G194" s="13">
        <f>F194-E194</f>
        <v/>
      </c>
      <c r="H194" s="27" t="n">
        <v>38</v>
      </c>
      <c r="I194" s="13">
        <f>E194*H194</f>
        <v/>
      </c>
      <c r="J194" s="13">
        <f>F194*H194</f>
        <v/>
      </c>
      <c r="K194" s="26">
        <f>IF(H194&lt;=0, "Out of Stock", IF(H194&lt;=5, "Low Stock", "In Stock"))</f>
        <v/>
      </c>
      <c r="L194" s="26" t="inlineStr">
        <is>
          <t>2025-07-23 11:01 AM</t>
        </is>
      </c>
    </row>
    <row r="195">
      <c r="A195" s="28" t="inlineStr">
        <is>
          <t>8964003590970</t>
        </is>
      </c>
      <c r="B195" s="15" t="inlineStr">
        <is>
          <t>GLUCO TEDDY STRABERRY CAKE</t>
        </is>
      </c>
      <c r="C195" s="15" t="inlineStr">
        <is>
          <t>Biscuits &amp; Bakery</t>
        </is>
      </c>
      <c r="D195" s="15" t="inlineStr">
        <is>
          <t>Cake</t>
        </is>
      </c>
      <c r="E195" s="18" t="n">
        <v>36</v>
      </c>
      <c r="F195" s="18" t="n">
        <v>40</v>
      </c>
      <c r="G195" s="18">
        <f>F195-E195</f>
        <v/>
      </c>
      <c r="H195" s="29" t="n">
        <v>11</v>
      </c>
      <c r="I195" s="18">
        <f>E195*H195</f>
        <v/>
      </c>
      <c r="J195" s="18">
        <f>F195*H195</f>
        <v/>
      </c>
      <c r="K195" s="28">
        <f>IF(H195&lt;=0, "Out of Stock", IF(H195&lt;=5, "Low Stock", "In Stock"))</f>
        <v/>
      </c>
      <c r="L195" s="28" t="inlineStr">
        <is>
          <t>2025-07-23 11:04 AM</t>
        </is>
      </c>
    </row>
    <row r="196">
      <c r="A196" s="26" t="inlineStr">
        <is>
          <t>8961101819545</t>
        </is>
      </c>
      <c r="B196" s="10" t="inlineStr">
        <is>
          <t>PLAIN CAKE 180G</t>
        </is>
      </c>
      <c r="C196" s="10" t="inlineStr">
        <is>
          <t>Biscuits &amp; Bakery</t>
        </is>
      </c>
      <c r="D196" s="10" t="inlineStr">
        <is>
          <t>Cake</t>
        </is>
      </c>
      <c r="E196" s="13" t="n">
        <v>161</v>
      </c>
      <c r="F196" s="13" t="n">
        <v>200</v>
      </c>
      <c r="G196" s="13">
        <f>F196-E196</f>
        <v/>
      </c>
      <c r="H196" s="27" t="n">
        <v>2</v>
      </c>
      <c r="I196" s="13">
        <f>E196*H196</f>
        <v/>
      </c>
      <c r="J196" s="13">
        <f>F196*H196</f>
        <v/>
      </c>
      <c r="K196" s="26">
        <f>IF(H196&lt;=0, "Out of Stock", IF(H196&lt;=5, "Low Stock", "In Stock"))</f>
        <v/>
      </c>
      <c r="L196" s="26" t="inlineStr">
        <is>
          <t>2025-07-25 10:01 AM</t>
        </is>
      </c>
    </row>
    <row r="197">
      <c r="A197" s="28" t="inlineStr">
        <is>
          <t>8964003592639</t>
        </is>
      </c>
      <c r="B197" s="15" t="inlineStr">
        <is>
          <t>SOOPER CLASSIC CHOCOLATE CAKE</t>
        </is>
      </c>
      <c r="C197" s="15" t="inlineStr">
        <is>
          <t>Biscuits &amp; Bakery</t>
        </is>
      </c>
      <c r="D197" s="15" t="inlineStr">
        <is>
          <t>Cake</t>
        </is>
      </c>
      <c r="E197" s="18" t="n">
        <v>27</v>
      </c>
      <c r="F197" s="18" t="n">
        <v>30</v>
      </c>
      <c r="G197" s="18">
        <f>F197-E197</f>
        <v/>
      </c>
      <c r="H197" s="29" t="n">
        <v>27</v>
      </c>
      <c r="I197" s="18">
        <f>E197*H197</f>
        <v/>
      </c>
      <c r="J197" s="18">
        <f>F197*H197</f>
        <v/>
      </c>
      <c r="K197" s="28">
        <f>IF(H197&lt;=0, "Out of Stock", IF(H197&lt;=5, "Low Stock", "In Stock"))</f>
        <v/>
      </c>
      <c r="L197" s="28" t="inlineStr">
        <is>
          <t>2025-07-24 03:53 PM</t>
        </is>
      </c>
    </row>
    <row r="198">
      <c r="A198" s="26" t="inlineStr">
        <is>
          <t>8964002758890</t>
        </is>
      </c>
      <c r="B198" s="10" t="inlineStr">
        <is>
          <t>SMILE CHOCOLATE DONUT</t>
        </is>
      </c>
      <c r="C198" s="10" t="inlineStr">
        <is>
          <t>Biscuits &amp; Bakery</t>
        </is>
      </c>
      <c r="D198" s="10" t="inlineStr">
        <is>
          <t>Donut</t>
        </is>
      </c>
      <c r="E198" s="13" t="n">
        <v>45</v>
      </c>
      <c r="F198" s="13" t="n">
        <v>50</v>
      </c>
      <c r="G198" s="13">
        <f>F198-E198</f>
        <v/>
      </c>
      <c r="H198" s="27" t="n">
        <v>11</v>
      </c>
      <c r="I198" s="13">
        <f>E198*H198</f>
        <v/>
      </c>
      <c r="J198" s="13">
        <f>F198*H198</f>
        <v/>
      </c>
      <c r="K198" s="26">
        <f>IF(H198&lt;=0, "Out of Stock", IF(H198&lt;=5, "Low Stock", "In Stock"))</f>
        <v/>
      </c>
      <c r="L198" s="26" t="inlineStr">
        <is>
          <t>2025-07-14 08:57 AM</t>
        </is>
      </c>
    </row>
    <row r="199">
      <c r="A199" s="28" t="inlineStr">
        <is>
          <t>8964002758913</t>
        </is>
      </c>
      <c r="B199" s="15" t="inlineStr">
        <is>
          <t>SMILE STRABERRY DONUT</t>
        </is>
      </c>
      <c r="C199" s="15" t="inlineStr">
        <is>
          <t>Biscuits &amp; Bakery</t>
        </is>
      </c>
      <c r="D199" s="15" t="inlineStr">
        <is>
          <t>Donut</t>
        </is>
      </c>
      <c r="E199" s="18" t="n">
        <v>45</v>
      </c>
      <c r="F199" s="18" t="n">
        <v>50</v>
      </c>
      <c r="G199" s="18">
        <f>F199-E199</f>
        <v/>
      </c>
      <c r="H199" s="29" t="n">
        <v>8</v>
      </c>
      <c r="I199" s="18">
        <f>E199*H199</f>
        <v/>
      </c>
      <c r="J199" s="18">
        <f>F199*H199</f>
        <v/>
      </c>
      <c r="K199" s="28">
        <f>IF(H199&lt;=0, "Out of Stock", IF(H199&lt;=5, "Low Stock", "In Stock"))</f>
        <v/>
      </c>
      <c r="L199" s="28" t="inlineStr">
        <is>
          <t>2025-07-14 08:58 AM</t>
        </is>
      </c>
    </row>
    <row r="200">
      <c r="A200" s="26" t="inlineStr">
        <is>
          <t>PROD-20250718-214422-NEW</t>
        </is>
      </c>
      <c r="B200" s="10" t="inlineStr">
        <is>
          <t>BLACK PEPER PASTE</t>
        </is>
      </c>
      <c r="C200" s="10" t="inlineStr">
        <is>
          <t>Black Peper</t>
        </is>
      </c>
      <c r="D200" s="10" t="inlineStr">
        <is>
          <t>Black Peper</t>
        </is>
      </c>
      <c r="E200" s="13" t="n">
        <v>3</v>
      </c>
      <c r="F200" s="13" t="n">
        <v>4</v>
      </c>
      <c r="G200" s="13">
        <f>F200-E200</f>
        <v/>
      </c>
      <c r="H200" s="27" t="n">
        <v>5000</v>
      </c>
      <c r="I200" s="13">
        <f>E200*H200</f>
        <v/>
      </c>
      <c r="J200" s="13">
        <f>F200*H200</f>
        <v/>
      </c>
      <c r="K200" s="26">
        <f>IF(H200&lt;=0, "Out of Stock", IF(H200&lt;=5, "Low Stock", "In Stock"))</f>
        <v/>
      </c>
      <c r="L200" s="26" t="inlineStr">
        <is>
          <t>2025-07-18 04:47 PM</t>
        </is>
      </c>
    </row>
    <row r="201">
      <c r="A201" s="28" t="inlineStr">
        <is>
          <t>4525368987412</t>
        </is>
      </c>
      <c r="B201" s="15" t="inlineStr">
        <is>
          <t>LAVINA BEAUTY SOUL</t>
        </is>
      </c>
      <c r="C201" s="15" t="inlineStr">
        <is>
          <t>Body Powdered</t>
        </is>
      </c>
      <c r="D201" s="15" t="inlineStr">
        <is>
          <t>Body Powdered</t>
        </is>
      </c>
      <c r="E201" s="18" t="n">
        <v>190</v>
      </c>
      <c r="F201" s="18" t="n">
        <v>300</v>
      </c>
      <c r="G201" s="18">
        <f>F201-E201</f>
        <v/>
      </c>
      <c r="H201" s="29" t="n">
        <v>10</v>
      </c>
      <c r="I201" s="18">
        <f>E201*H201</f>
        <v/>
      </c>
      <c r="J201" s="18">
        <f>F201*H201</f>
        <v/>
      </c>
      <c r="K201" s="28">
        <f>IF(H201&lt;=0, "Out of Stock", IF(H201&lt;=5, "Low Stock", "In Stock"))</f>
        <v/>
      </c>
      <c r="L201" s="28" t="inlineStr">
        <is>
          <t>2025-07-14 03:37 PM</t>
        </is>
      </c>
    </row>
    <row r="202">
      <c r="A202" s="26" t="inlineStr">
        <is>
          <t>PROD-20250717-141934-NEW</t>
        </is>
      </c>
      <c r="B202" s="10" t="inlineStr">
        <is>
          <t>CANDLE</t>
        </is>
      </c>
      <c r="C202" s="10" t="inlineStr">
        <is>
          <t>Candle</t>
        </is>
      </c>
      <c r="D202" s="10" t="inlineStr">
        <is>
          <t>Candle</t>
        </is>
      </c>
      <c r="E202" s="13" t="n">
        <v>32</v>
      </c>
      <c r="F202" s="13" t="n">
        <v>70</v>
      </c>
      <c r="G202" s="13">
        <f>F202-E202</f>
        <v/>
      </c>
      <c r="H202" s="27" t="n">
        <v>29</v>
      </c>
      <c r="I202" s="13">
        <f>E202*H202</f>
        <v/>
      </c>
      <c r="J202" s="13">
        <f>F202*H202</f>
        <v/>
      </c>
      <c r="K202" s="26">
        <f>IF(H202&lt;=0, "Out of Stock", IF(H202&lt;=5, "Low Stock", "In Stock"))</f>
        <v/>
      </c>
      <c r="L202" s="26" t="inlineStr">
        <is>
          <t>2025-07-17 09:20 AM</t>
        </is>
      </c>
    </row>
    <row r="203">
      <c r="A203" s="28" t="inlineStr">
        <is>
          <t>PROD-20250715-SOAP</t>
        </is>
      </c>
      <c r="B203" s="15" t="inlineStr">
        <is>
          <t>SOAP CASE</t>
        </is>
      </c>
      <c r="C203" s="15" t="inlineStr">
        <is>
          <t>Case</t>
        </is>
      </c>
      <c r="D203" s="15" t="inlineStr">
        <is>
          <t>Case</t>
        </is>
      </c>
      <c r="E203" s="18" t="n">
        <v>45</v>
      </c>
      <c r="F203" s="18" t="n">
        <v>70</v>
      </c>
      <c r="G203" s="18">
        <f>F203-E203</f>
        <v/>
      </c>
      <c r="H203" s="29" t="n">
        <v>36</v>
      </c>
      <c r="I203" s="18">
        <f>E203*H203</f>
        <v/>
      </c>
      <c r="J203" s="18">
        <f>F203*H203</f>
        <v/>
      </c>
      <c r="K203" s="28">
        <f>IF(H203&lt;=0, "Out of Stock", IF(H203&lt;=5, "Low Stock", "In Stock"))</f>
        <v/>
      </c>
      <c r="L203" s="28" t="inlineStr">
        <is>
          <t>2025-07-15 12:36 PM</t>
        </is>
      </c>
    </row>
    <row r="204">
      <c r="A204" s="26" t="inlineStr">
        <is>
          <t>PROD-20250718-002605-NEW</t>
        </is>
      </c>
      <c r="B204" s="10" t="inlineStr">
        <is>
          <t>PENSI PONI CHAANI TEA</t>
        </is>
      </c>
      <c r="C204" s="10" t="inlineStr">
        <is>
          <t>Chaani</t>
        </is>
      </c>
      <c r="D204" s="10" t="inlineStr">
        <is>
          <t>Chaani</t>
        </is>
      </c>
      <c r="E204" s="13" t="n">
        <v>65</v>
      </c>
      <c r="F204" s="13" t="n">
        <v>100</v>
      </c>
      <c r="G204" s="13">
        <f>F204-E204</f>
        <v/>
      </c>
      <c r="H204" s="27" t="n">
        <v>32</v>
      </c>
      <c r="I204" s="13">
        <f>E204*H204</f>
        <v/>
      </c>
      <c r="J204" s="13">
        <f>F204*H204</f>
        <v/>
      </c>
      <c r="K204" s="26">
        <f>IF(H204&lt;=0, "Out of Stock", IF(H204&lt;=5, "Low Stock", "In Stock"))</f>
        <v/>
      </c>
      <c r="L204" s="26" t="inlineStr">
        <is>
          <t>2025-07-18 07:28 PM</t>
        </is>
      </c>
    </row>
    <row r="205">
      <c r="A205" s="28" t="inlineStr">
        <is>
          <t>6260942600117</t>
        </is>
      </c>
      <c r="B205" s="15" t="inlineStr">
        <is>
          <t>SHAYAN CANNED CHICKPEA</t>
        </is>
      </c>
      <c r="C205" s="15" t="inlineStr">
        <is>
          <t>Chana</t>
        </is>
      </c>
      <c r="D205" s="15" t="inlineStr">
        <is>
          <t>Chana</t>
        </is>
      </c>
      <c r="E205" s="18" t="n">
        <v>184</v>
      </c>
      <c r="F205" s="18" t="n">
        <v>300</v>
      </c>
      <c r="G205" s="18">
        <f>F205-E205</f>
        <v/>
      </c>
      <c r="H205" s="29" t="n">
        <v>22</v>
      </c>
      <c r="I205" s="18">
        <f>E205*H205</f>
        <v/>
      </c>
      <c r="J205" s="18">
        <f>F205*H205</f>
        <v/>
      </c>
      <c r="K205" s="28">
        <f>IF(H205&lt;=0, "Out of Stock", IF(H205&lt;=5, "Low Stock", "In Stock"))</f>
        <v/>
      </c>
      <c r="L205" s="28" t="inlineStr">
        <is>
          <t>2025-07-17 07:55 AM</t>
        </is>
      </c>
    </row>
    <row r="206">
      <c r="A206" s="26" t="inlineStr">
        <is>
          <t>6260176840051</t>
        </is>
      </c>
      <c r="B206" s="10" t="inlineStr">
        <is>
          <t>MIHAN WHITE CHEESSE 210GR</t>
        </is>
      </c>
      <c r="C206" s="10" t="inlineStr">
        <is>
          <t>Cheese</t>
        </is>
      </c>
      <c r="D206" s="10" t="inlineStr">
        <is>
          <t>Cheese</t>
        </is>
      </c>
      <c r="E206" s="13" t="n">
        <v>250</v>
      </c>
      <c r="F206" s="13" t="n">
        <v>300</v>
      </c>
      <c r="G206" s="13">
        <f>F206-E206</f>
        <v/>
      </c>
      <c r="H206" s="27" t="n">
        <v>7</v>
      </c>
      <c r="I206" s="13">
        <f>E206*H206</f>
        <v/>
      </c>
      <c r="J206" s="13">
        <f>F206*H206</f>
        <v/>
      </c>
      <c r="K206" s="26">
        <f>IF(H206&lt;=0, "Out of Stock", IF(H206&lt;=5, "Low Stock", "In Stock"))</f>
        <v/>
      </c>
      <c r="L206" s="26" t="inlineStr">
        <is>
          <t>2025-07-17 08:18 AM</t>
        </is>
      </c>
    </row>
    <row r="207">
      <c r="A207" s="28" t="inlineStr">
        <is>
          <t>6260007411856</t>
        </is>
      </c>
      <c r="B207" s="15" t="inlineStr">
        <is>
          <t>PANEER PEGAH CREAM CHEESE</t>
        </is>
      </c>
      <c r="C207" s="15" t="inlineStr">
        <is>
          <t>Cheese</t>
        </is>
      </c>
      <c r="D207" s="15" t="inlineStr">
        <is>
          <t>Cheese</t>
        </is>
      </c>
      <c r="E207" s="18" t="n">
        <v>114.52</v>
      </c>
      <c r="F207" s="18" t="n">
        <v>150</v>
      </c>
      <c r="G207" s="18">
        <f>F207-E207</f>
        <v/>
      </c>
      <c r="H207" s="29" t="n">
        <v>93</v>
      </c>
      <c r="I207" s="18">
        <f>E207*H207</f>
        <v/>
      </c>
      <c r="J207" s="18">
        <f>F207*H207</f>
        <v/>
      </c>
      <c r="K207" s="28">
        <f>IF(H207&lt;=0, "Out of Stock", IF(H207&lt;=5, "Low Stock", "In Stock"))</f>
        <v/>
      </c>
      <c r="L207" s="28" t="inlineStr">
        <is>
          <t>2025-07-17 08:16 AM</t>
        </is>
      </c>
    </row>
    <row r="208">
      <c r="A208" s="26" t="inlineStr">
        <is>
          <t>9945678311922</t>
        </is>
      </c>
      <c r="B208" s="10" t="inlineStr">
        <is>
          <t>FRESHIA BLUE BUBBLE</t>
        </is>
      </c>
      <c r="C208" s="10" t="inlineStr">
        <is>
          <t>Chewing Gum &amp; Mints</t>
        </is>
      </c>
      <c r="D208" s="10" t="inlineStr">
        <is>
          <t>Chewing Gum</t>
        </is>
      </c>
      <c r="E208" s="13" t="n">
        <v>19</v>
      </c>
      <c r="F208" s="13" t="n">
        <v>40</v>
      </c>
      <c r="G208" s="13">
        <f>F208-E208</f>
        <v/>
      </c>
      <c r="H208" s="27" t="n">
        <v>1</v>
      </c>
      <c r="I208" s="13">
        <f>E208*H208</f>
        <v/>
      </c>
      <c r="J208" s="13">
        <f>F208*H208</f>
        <v/>
      </c>
      <c r="K208" s="26">
        <f>IF(H208&lt;=0, "Out of Stock", IF(H208&lt;=5, "Low Stock", "In Stock"))</f>
        <v/>
      </c>
      <c r="L208" s="26" t="inlineStr">
        <is>
          <t>2025-07-13 02:15 PM</t>
        </is>
      </c>
    </row>
    <row r="209">
      <c r="A209" s="28" t="inlineStr">
        <is>
          <t>3332211449031</t>
        </is>
      </c>
      <c r="B209" s="15" t="inlineStr">
        <is>
          <t>FRESHIA RED BUBBLE</t>
        </is>
      </c>
      <c r="C209" s="15" t="inlineStr">
        <is>
          <t>Chewing Gum &amp; Mints</t>
        </is>
      </c>
      <c r="D209" s="15" t="inlineStr">
        <is>
          <t>Chewing Gum</t>
        </is>
      </c>
      <c r="E209" s="18" t="n">
        <v>19</v>
      </c>
      <c r="F209" s="18" t="n">
        <v>40</v>
      </c>
      <c r="G209" s="18">
        <f>F209-E209</f>
        <v/>
      </c>
      <c r="H209" s="29" t="n">
        <v>12</v>
      </c>
      <c r="I209" s="18">
        <f>E209*H209</f>
        <v/>
      </c>
      <c r="J209" s="18">
        <f>F209*H209</f>
        <v/>
      </c>
      <c r="K209" s="28">
        <f>IF(H209&lt;=0, "Out of Stock", IF(H209&lt;=5, "Low Stock", "In Stock"))</f>
        <v/>
      </c>
      <c r="L209" s="28" t="inlineStr">
        <is>
          <t>2025-07-13 02:13 PM</t>
        </is>
      </c>
    </row>
    <row r="210">
      <c r="A210" s="26" t="inlineStr">
        <is>
          <t>6921211103547</t>
        </is>
      </c>
      <c r="B210" s="10" t="inlineStr">
        <is>
          <t>FRUIT TELLA</t>
        </is>
      </c>
      <c r="C210" s="10" t="inlineStr">
        <is>
          <t>Chewing Gum &amp; Mints</t>
        </is>
      </c>
      <c r="D210" s="10" t="inlineStr">
        <is>
          <t>Chewing Gum</t>
        </is>
      </c>
      <c r="E210" s="13" t="n">
        <v>130</v>
      </c>
      <c r="F210" s="13" t="n">
        <v>160</v>
      </c>
      <c r="G210" s="13">
        <f>F210-E210</f>
        <v/>
      </c>
      <c r="H210" s="27" t="n">
        <v>10</v>
      </c>
      <c r="I210" s="13">
        <f>E210*H210</f>
        <v/>
      </c>
      <c r="J210" s="13">
        <f>F210*H210</f>
        <v/>
      </c>
      <c r="K210" s="26">
        <f>IF(H210&lt;=0, "Out of Stock", IF(H210&lt;=5, "Low Stock", "In Stock"))</f>
        <v/>
      </c>
      <c r="L210" s="26" t="inlineStr">
        <is>
          <t>2025-07-13 02:18 PM</t>
        </is>
      </c>
    </row>
    <row r="211">
      <c r="A211" s="28" t="inlineStr">
        <is>
          <t>87108538</t>
        </is>
      </c>
      <c r="B211" s="15" t="inlineStr">
        <is>
          <t>MENTOS STRABERRY</t>
        </is>
      </c>
      <c r="C211" s="15" t="inlineStr">
        <is>
          <t>Chewing Gum &amp; Mints</t>
        </is>
      </c>
      <c r="D211" s="15" t="inlineStr">
        <is>
          <t>Chewing Gum</t>
        </is>
      </c>
      <c r="E211" s="18" t="n">
        <v>109</v>
      </c>
      <c r="F211" s="18" t="n">
        <v>140</v>
      </c>
      <c r="G211" s="18">
        <f>F211-E211</f>
        <v/>
      </c>
      <c r="H211" s="29" t="n">
        <v>9</v>
      </c>
      <c r="I211" s="18">
        <f>E211*H211</f>
        <v/>
      </c>
      <c r="J211" s="18">
        <f>F211*H211</f>
        <v/>
      </c>
      <c r="K211" s="28">
        <f>IF(H211&lt;=0, "Out of Stock", IF(H211&lt;=5, "Low Stock", "In Stock"))</f>
        <v/>
      </c>
      <c r="L211" s="28" t="inlineStr">
        <is>
          <t>2025-07-13 02:19 PM</t>
        </is>
      </c>
    </row>
    <row r="212">
      <c r="A212" s="26" t="inlineStr">
        <is>
          <t>671866278713</t>
        </is>
      </c>
      <c r="B212" s="10" t="inlineStr">
        <is>
          <t>SPOUT PEPPERMINT FLAVOUR</t>
        </is>
      </c>
      <c r="C212" s="10" t="inlineStr">
        <is>
          <t>Chewing Gum &amp; Mints</t>
        </is>
      </c>
      <c r="D212" s="10" t="inlineStr">
        <is>
          <t>Chewing Gum</t>
        </is>
      </c>
      <c r="E212" s="13" t="n">
        <v>29</v>
      </c>
      <c r="F212" s="13" t="n">
        <v>50</v>
      </c>
      <c r="G212" s="13">
        <f>F212-E212</f>
        <v/>
      </c>
      <c r="H212" s="27" t="n">
        <v>36</v>
      </c>
      <c r="I212" s="13">
        <f>E212*H212</f>
        <v/>
      </c>
      <c r="J212" s="13">
        <f>F212*H212</f>
        <v/>
      </c>
      <c r="K212" s="26">
        <f>IF(H212&lt;=0, "Out of Stock", IF(H212&lt;=5, "Low Stock", "In Stock"))</f>
        <v/>
      </c>
      <c r="L212" s="26" t="inlineStr">
        <is>
          <t>2025-07-13 02:01 PM</t>
        </is>
      </c>
    </row>
    <row r="213">
      <c r="A213" s="28" t="inlineStr">
        <is>
          <t>671866277709</t>
        </is>
      </c>
      <c r="B213" s="15" t="inlineStr">
        <is>
          <t>SPOUT SPEARMINT FLAVOUR</t>
        </is>
      </c>
      <c r="C213" s="15" t="inlineStr">
        <is>
          <t>Chewing Gum &amp; Mints</t>
        </is>
      </c>
      <c r="D213" s="15" t="inlineStr">
        <is>
          <t>Chewing Gum</t>
        </is>
      </c>
      <c r="E213" s="18" t="n">
        <v>29</v>
      </c>
      <c r="F213" s="18" t="n">
        <v>50</v>
      </c>
      <c r="G213" s="18">
        <f>F213-E213</f>
        <v/>
      </c>
      <c r="H213" s="29" t="n">
        <v>36</v>
      </c>
      <c r="I213" s="18">
        <f>E213*H213</f>
        <v/>
      </c>
      <c r="J213" s="18">
        <f>F213*H213</f>
        <v/>
      </c>
      <c r="K213" s="28">
        <f>IF(H213&lt;=0, "Out of Stock", IF(H213&lt;=5, "Low Stock", "In Stock"))</f>
        <v/>
      </c>
      <c r="L213" s="28" t="inlineStr">
        <is>
          <t>2025-07-13 02:02 PM</t>
        </is>
      </c>
    </row>
    <row r="214">
      <c r="A214" s="26" t="inlineStr">
        <is>
          <t>671866277730</t>
        </is>
      </c>
      <c r="B214" s="10" t="inlineStr">
        <is>
          <t>SPOUT STRABERRY FLAVOUR</t>
        </is>
      </c>
      <c r="C214" s="10" t="inlineStr">
        <is>
          <t>Chewing Gum &amp; Mints</t>
        </is>
      </c>
      <c r="D214" s="10" t="inlineStr">
        <is>
          <t>Chewing Gum</t>
        </is>
      </c>
      <c r="E214" s="13" t="n">
        <v>29</v>
      </c>
      <c r="F214" s="13" t="n">
        <v>50</v>
      </c>
      <c r="G214" s="13">
        <f>F214-E214</f>
        <v/>
      </c>
      <c r="H214" s="27" t="n">
        <v>28</v>
      </c>
      <c r="I214" s="13">
        <f>E214*H214</f>
        <v/>
      </c>
      <c r="J214" s="13">
        <f>F214*H214</f>
        <v/>
      </c>
      <c r="K214" s="26">
        <f>IF(H214&lt;=0, "Out of Stock", IF(H214&lt;=5, "Low Stock", "In Stock"))</f>
        <v/>
      </c>
      <c r="L214" s="26" t="inlineStr">
        <is>
          <t>2025-07-13 02:03 PM</t>
        </is>
      </c>
    </row>
    <row r="215">
      <c r="A215" s="28" t="inlineStr">
        <is>
          <t>12546011440</t>
        </is>
      </c>
      <c r="B215" s="15" t="inlineStr">
        <is>
          <t>TRIDENT BUBBLEGUM</t>
        </is>
      </c>
      <c r="C215" s="15" t="inlineStr">
        <is>
          <t>Chewing Gum &amp; Mints</t>
        </is>
      </c>
      <c r="D215" s="15" t="inlineStr">
        <is>
          <t>Chewing Gum</t>
        </is>
      </c>
      <c r="E215" s="18" t="n">
        <v>216</v>
      </c>
      <c r="F215" s="18" t="n">
        <v>300</v>
      </c>
      <c r="G215" s="18">
        <f>F215-E215</f>
        <v/>
      </c>
      <c r="H215" s="29" t="n">
        <v>7</v>
      </c>
      <c r="I215" s="18">
        <f>E215*H215</f>
        <v/>
      </c>
      <c r="J215" s="18">
        <f>F215*H215</f>
        <v/>
      </c>
      <c r="K215" s="28">
        <f>IF(H215&lt;=0, "Out of Stock", IF(H215&lt;=5, "Low Stock", "In Stock"))</f>
        <v/>
      </c>
      <c r="L215" s="28" t="inlineStr">
        <is>
          <t>2025-07-13 01:55 PM</t>
        </is>
      </c>
    </row>
    <row r="216">
      <c r="A216" s="26" t="inlineStr">
        <is>
          <t>70221008680</t>
        </is>
      </c>
      <c r="B216" s="10" t="inlineStr">
        <is>
          <t>TRIDENT ORIGIONAL FLAVOR</t>
        </is>
      </c>
      <c r="C216" s="10" t="inlineStr">
        <is>
          <t>Chewing Gum &amp; Mints</t>
        </is>
      </c>
      <c r="D216" s="10" t="inlineStr">
        <is>
          <t>Chewing Gum</t>
        </is>
      </c>
      <c r="E216" s="13" t="n">
        <v>216</v>
      </c>
      <c r="F216" s="13" t="n">
        <v>300</v>
      </c>
      <c r="G216" s="13">
        <f>F216-E216</f>
        <v/>
      </c>
      <c r="H216" s="27" t="n">
        <v>4</v>
      </c>
      <c r="I216" s="13">
        <f>E216*H216</f>
        <v/>
      </c>
      <c r="J216" s="13">
        <f>F216*H216</f>
        <v/>
      </c>
      <c r="K216" s="26">
        <f>IF(H216&lt;=0, "Out of Stock", IF(H216&lt;=5, "Low Stock", "In Stock"))</f>
        <v/>
      </c>
      <c r="L216" s="26" t="inlineStr">
        <is>
          <t>2025-07-13 01:52 PM</t>
        </is>
      </c>
    </row>
    <row r="217">
      <c r="A217" s="28" t="inlineStr">
        <is>
          <t>12546011075</t>
        </is>
      </c>
      <c r="B217" s="15" t="inlineStr">
        <is>
          <t>TRIDENT SPEARMINT</t>
        </is>
      </c>
      <c r="C217" s="15" t="inlineStr">
        <is>
          <t>Chewing Gum &amp; Mints</t>
        </is>
      </c>
      <c r="D217" s="15" t="inlineStr">
        <is>
          <t>Chewing Gum</t>
        </is>
      </c>
      <c r="E217" s="18" t="n">
        <v>216</v>
      </c>
      <c r="F217" s="18" t="n">
        <v>300</v>
      </c>
      <c r="G217" s="18">
        <f>F217-E217</f>
        <v/>
      </c>
      <c r="H217" s="29" t="n">
        <v>13</v>
      </c>
      <c r="I217" s="18">
        <f>E217*H217</f>
        <v/>
      </c>
      <c r="J217" s="18">
        <f>F217*H217</f>
        <v/>
      </c>
      <c r="K217" s="28">
        <f>IF(H217&lt;=0, "Out of Stock", IF(H217&lt;=5, "Low Stock", "In Stock"))</f>
        <v/>
      </c>
      <c r="L217" s="28" t="inlineStr">
        <is>
          <t>2025-07-13 01:53 PM</t>
        </is>
      </c>
    </row>
    <row r="218">
      <c r="A218" s="26" t="inlineStr">
        <is>
          <t>70221008727</t>
        </is>
      </c>
      <c r="B218" s="10" t="inlineStr">
        <is>
          <t>TRIDENT TROPICAL TWIST</t>
        </is>
      </c>
      <c r="C218" s="10" t="inlineStr">
        <is>
          <t>Chewing Gum &amp; Mints</t>
        </is>
      </c>
      <c r="D218" s="10" t="inlineStr">
        <is>
          <t>Chewing Gum</t>
        </is>
      </c>
      <c r="E218" s="13" t="n">
        <v>216</v>
      </c>
      <c r="F218" s="13" t="n">
        <v>300</v>
      </c>
      <c r="G218" s="13">
        <f>F218-E218</f>
        <v/>
      </c>
      <c r="H218" s="27" t="n">
        <v>0</v>
      </c>
      <c r="I218" s="13">
        <f>E218*H218</f>
        <v/>
      </c>
      <c r="J218" s="13">
        <f>F218*H218</f>
        <v/>
      </c>
      <c r="K218" s="26">
        <f>IF(H218&lt;=0, "Out of Stock", IF(H218&lt;=5, "Low Stock", "In Stock"))</f>
        <v/>
      </c>
      <c r="L218" s="26" t="inlineStr">
        <is>
          <t>2025-07-13 01:56 PM</t>
        </is>
      </c>
    </row>
    <row r="219">
      <c r="A219" s="28" t="inlineStr">
        <is>
          <t>70221008741</t>
        </is>
      </c>
      <c r="B219" s="15" t="inlineStr">
        <is>
          <t>TRIDENT WATERMELON TWIST</t>
        </is>
      </c>
      <c r="C219" s="15" t="inlineStr">
        <is>
          <t>Chewing Gum &amp; Mints</t>
        </is>
      </c>
      <c r="D219" s="15" t="inlineStr">
        <is>
          <t>Chewing Gum</t>
        </is>
      </c>
      <c r="E219" s="18" t="n">
        <v>216</v>
      </c>
      <c r="F219" s="18" t="n">
        <v>300</v>
      </c>
      <c r="G219" s="18">
        <f>F219-E219</f>
        <v/>
      </c>
      <c r="H219" s="29" t="n">
        <v>2</v>
      </c>
      <c r="I219" s="18">
        <f>E219*H219</f>
        <v/>
      </c>
      <c r="J219" s="18">
        <f>F219*H219</f>
        <v/>
      </c>
      <c r="K219" s="28">
        <f>IF(H219&lt;=0, "Out of Stock", IF(H219&lt;=5, "Low Stock", "In Stock"))</f>
        <v/>
      </c>
      <c r="L219" s="28" t="inlineStr">
        <is>
          <t>2025-07-13 01:54 PM</t>
        </is>
      </c>
    </row>
    <row r="220">
      <c r="A220" s="26" t="inlineStr">
        <is>
          <t>6260360006232</t>
        </is>
      </c>
      <c r="B220" s="10" t="inlineStr">
        <is>
          <t>ELITE CHICKEN CUBE</t>
        </is>
      </c>
      <c r="C220" s="10" t="inlineStr">
        <is>
          <t>Chicken Cube</t>
        </is>
      </c>
      <c r="D220" s="10" t="inlineStr">
        <is>
          <t>Chicken Cube</t>
        </is>
      </c>
      <c r="E220" s="13" t="n">
        <v>60</v>
      </c>
      <c r="F220" s="13" t="n">
        <v>80</v>
      </c>
      <c r="G220" s="13">
        <f>F220-E220</f>
        <v/>
      </c>
      <c r="H220" s="27" t="n">
        <v>11</v>
      </c>
      <c r="I220" s="13">
        <f>E220*H220</f>
        <v/>
      </c>
      <c r="J220" s="13">
        <f>F220*H220</f>
        <v/>
      </c>
      <c r="K220" s="26">
        <f>IF(H220&lt;=0, "Out of Stock", IF(H220&lt;=5, "Low Stock", "In Stock"))</f>
        <v/>
      </c>
      <c r="L220" s="26" t="inlineStr">
        <is>
          <t>2025-07-13 10:43 AM</t>
        </is>
      </c>
    </row>
    <row r="221">
      <c r="A221" s="28" t="inlineStr">
        <is>
          <t>8961014032901</t>
        </is>
      </c>
      <c r="B221" s="15" t="inlineStr">
        <is>
          <t>KNORR CHICKEN CUBE</t>
        </is>
      </c>
      <c r="C221" s="15" t="inlineStr">
        <is>
          <t>Chicken Cube</t>
        </is>
      </c>
      <c r="D221" s="15" t="inlineStr">
        <is>
          <t>Chicken Cube</t>
        </is>
      </c>
      <c r="E221" s="18" t="n">
        <v>66</v>
      </c>
      <c r="F221" s="18" t="n">
        <v>80</v>
      </c>
      <c r="G221" s="18">
        <f>F221-E221</f>
        <v/>
      </c>
      <c r="H221" s="29" t="n">
        <v>56</v>
      </c>
      <c r="I221" s="18">
        <f>E221*H221</f>
        <v/>
      </c>
      <c r="J221" s="18">
        <f>F221*H221</f>
        <v/>
      </c>
      <c r="K221" s="28">
        <f>IF(H221&lt;=0, "Out of Stock", IF(H221&lt;=5, "Low Stock", "In Stock"))</f>
        <v/>
      </c>
      <c r="L221" s="28" t="inlineStr">
        <is>
          <t>2025-07-13 10:41 AM</t>
        </is>
      </c>
    </row>
    <row r="222">
      <c r="A222" s="26" t="inlineStr">
        <is>
          <t>6260496902859</t>
        </is>
      </c>
      <c r="B222" s="10" t="inlineStr">
        <is>
          <t>TAIMAZ CHICKPEA</t>
        </is>
      </c>
      <c r="C222" s="10" t="inlineStr">
        <is>
          <t>Chickpea</t>
        </is>
      </c>
      <c r="D222" s="10" t="inlineStr">
        <is>
          <t>Chickpea</t>
        </is>
      </c>
      <c r="E222" s="13" t="n">
        <v>250</v>
      </c>
      <c r="F222" s="13" t="n">
        <v>300</v>
      </c>
      <c r="G222" s="13">
        <f>F222-E222</f>
        <v/>
      </c>
      <c r="H222" s="27" t="n">
        <v>0</v>
      </c>
      <c r="I222" s="13">
        <f>E222*H222</f>
        <v/>
      </c>
      <c r="J222" s="13">
        <f>F222*H222</f>
        <v/>
      </c>
      <c r="K222" s="26">
        <f>IF(H222&lt;=0, "Out of Stock", IF(H222&lt;=5, "Low Stock", "In Stock"))</f>
        <v/>
      </c>
      <c r="L222" s="26" t="inlineStr">
        <is>
          <t>2025-07-17 07:56 AM</t>
        </is>
      </c>
    </row>
    <row r="223">
      <c r="A223" s="28" t="inlineStr">
        <is>
          <t>6261149033142</t>
        </is>
      </c>
      <c r="B223" s="15" t="inlineStr">
        <is>
          <t>CARAMEL CHOCOLATE</t>
        </is>
      </c>
      <c r="C223" s="15" t="inlineStr">
        <is>
          <t>Chocolates &amp; Candy</t>
        </is>
      </c>
      <c r="D223" s="15" t="inlineStr">
        <is>
          <t>Chocolate</t>
        </is>
      </c>
      <c r="E223" s="18" t="n">
        <v>26</v>
      </c>
      <c r="F223" s="18" t="n">
        <v>40</v>
      </c>
      <c r="G223" s="18">
        <f>F223-E223</f>
        <v/>
      </c>
      <c r="H223" s="29" t="n">
        <v>13</v>
      </c>
      <c r="I223" s="18">
        <f>E223*H223</f>
        <v/>
      </c>
      <c r="J223" s="18">
        <f>F223*H223</f>
        <v/>
      </c>
      <c r="K223" s="28">
        <f>IF(H223&lt;=0, "Out of Stock", IF(H223&lt;=5, "Low Stock", "In Stock"))</f>
        <v/>
      </c>
      <c r="L223" s="28" t="inlineStr">
        <is>
          <t>2025-07-13 02:07 PM</t>
        </is>
      </c>
    </row>
    <row r="224">
      <c r="A224" s="26" t="inlineStr">
        <is>
          <t>7622202049880</t>
        </is>
      </c>
      <c r="B224" s="10" t="inlineStr">
        <is>
          <t>Dairy Milk 20Rs</t>
        </is>
      </c>
      <c r="C224" s="10" t="inlineStr">
        <is>
          <t>Chocolates &amp; Candy</t>
        </is>
      </c>
      <c r="D224" s="10" t="inlineStr">
        <is>
          <t>Chocolate</t>
        </is>
      </c>
      <c r="E224" s="13" t="n">
        <v>17</v>
      </c>
      <c r="F224" s="13" t="n">
        <v>20</v>
      </c>
      <c r="G224" s="13">
        <f>F224-E224</f>
        <v/>
      </c>
      <c r="H224" s="27" t="n">
        <v>56</v>
      </c>
      <c r="I224" s="13">
        <f>E224*H224</f>
        <v/>
      </c>
      <c r="J224" s="13">
        <f>F224*H224</f>
        <v/>
      </c>
      <c r="K224" s="26">
        <f>IF(H224&lt;=0, "Out of Stock", IF(H224&lt;=5, "Low Stock", "In Stock"))</f>
        <v/>
      </c>
      <c r="L224" s="26" t="inlineStr">
        <is>
          <t>2025-07-13 08:11 AM</t>
        </is>
      </c>
    </row>
    <row r="225">
      <c r="A225" s="28" t="inlineStr">
        <is>
          <t>7622202036293</t>
        </is>
      </c>
      <c r="B225" s="15" t="inlineStr">
        <is>
          <t>Dairy Milk Rs 30</t>
        </is>
      </c>
      <c r="C225" s="15" t="inlineStr">
        <is>
          <t>Chocolates &amp; Candy</t>
        </is>
      </c>
      <c r="D225" s="15" t="inlineStr">
        <is>
          <t>Chocolate</t>
        </is>
      </c>
      <c r="E225" s="18" t="n">
        <v>27</v>
      </c>
      <c r="F225" s="18" t="n">
        <v>30</v>
      </c>
      <c r="G225" s="18">
        <f>F225-E225</f>
        <v/>
      </c>
      <c r="H225" s="29" t="n">
        <v>30</v>
      </c>
      <c r="I225" s="18">
        <f>E225*H225</f>
        <v/>
      </c>
      <c r="J225" s="18">
        <f>F225*H225</f>
        <v/>
      </c>
      <c r="K225" s="28">
        <f>IF(H225&lt;=0, "Out of Stock", IF(H225&lt;=5, "Low Stock", "In Stock"))</f>
        <v/>
      </c>
      <c r="L225" s="28" t="inlineStr">
        <is>
          <t>2025-07-13 08:12 AM</t>
        </is>
      </c>
    </row>
    <row r="226">
      <c r="A226" s="26" t="inlineStr">
        <is>
          <t>7622202318221</t>
        </is>
      </c>
      <c r="B226" s="10" t="inlineStr">
        <is>
          <t>Dairy Milk Rs.50</t>
        </is>
      </c>
      <c r="C226" s="10" t="inlineStr">
        <is>
          <t>Chocolates &amp; Candy</t>
        </is>
      </c>
      <c r="D226" s="10" t="inlineStr">
        <is>
          <t>Chocolate</t>
        </is>
      </c>
      <c r="E226" s="13" t="n">
        <v>45</v>
      </c>
      <c r="F226" s="13" t="n">
        <v>50</v>
      </c>
      <c r="G226" s="13">
        <f>F226-E226</f>
        <v/>
      </c>
      <c r="H226" s="27" t="n">
        <v>22</v>
      </c>
      <c r="I226" s="13">
        <f>E226*H226</f>
        <v/>
      </c>
      <c r="J226" s="13">
        <f>F226*H226</f>
        <v/>
      </c>
      <c r="K226" s="26">
        <f>IF(H226&lt;=0, "Out of Stock", IF(H226&lt;=5, "Low Stock", "In Stock"))</f>
        <v/>
      </c>
      <c r="L226" s="26" t="inlineStr">
        <is>
          <t>2025-07-13 08:17 AM</t>
        </is>
      </c>
    </row>
    <row r="227">
      <c r="A227" s="28" t="inlineStr">
        <is>
          <t>6261149033166</t>
        </is>
      </c>
      <c r="B227" s="15" t="inlineStr">
        <is>
          <t>HISS CHOCOLATE</t>
        </is>
      </c>
      <c r="C227" s="15" t="inlineStr">
        <is>
          <t>Chocolates &amp; Candy</t>
        </is>
      </c>
      <c r="D227" s="15" t="inlineStr">
        <is>
          <t>Chocolate</t>
        </is>
      </c>
      <c r="E227" s="18" t="n">
        <v>26</v>
      </c>
      <c r="F227" s="18" t="n">
        <v>40</v>
      </c>
      <c r="G227" s="18">
        <f>F227-E227</f>
        <v/>
      </c>
      <c r="H227" s="29" t="n">
        <v>3</v>
      </c>
      <c r="I227" s="18">
        <f>E227*H227</f>
        <v/>
      </c>
      <c r="J227" s="18">
        <f>F227*H227</f>
        <v/>
      </c>
      <c r="K227" s="28">
        <f>IF(H227&lt;=0, "Out of Stock", IF(H227&lt;=5, "Low Stock", "In Stock"))</f>
        <v/>
      </c>
      <c r="L227" s="28" t="inlineStr">
        <is>
          <t>2025-07-13 02:06 PM</t>
        </is>
      </c>
    </row>
    <row r="228">
      <c r="A228" s="26" t="inlineStr">
        <is>
          <t>5000159461122</t>
        </is>
      </c>
      <c r="B228" s="10" t="inlineStr">
        <is>
          <t>Snickers Choc</t>
        </is>
      </c>
      <c r="C228" s="10" t="inlineStr">
        <is>
          <t>Chocolates &amp; Candy</t>
        </is>
      </c>
      <c r="D228" s="10" t="inlineStr">
        <is>
          <t>Chocolate</t>
        </is>
      </c>
      <c r="E228" s="13" t="n">
        <v>166</v>
      </c>
      <c r="F228" s="13" t="n">
        <v>200</v>
      </c>
      <c r="G228" s="13">
        <f>F228-E228</f>
        <v/>
      </c>
      <c r="H228" s="27" t="n">
        <v>20</v>
      </c>
      <c r="I228" s="13">
        <f>E228*H228</f>
        <v/>
      </c>
      <c r="J228" s="13">
        <f>F228*H228</f>
        <v/>
      </c>
      <c r="K228" s="26">
        <f>IF(H228&lt;=0, "Out of Stock", IF(H228&lt;=5, "Low Stock", "In Stock"))</f>
        <v/>
      </c>
      <c r="L228" s="26" t="inlineStr">
        <is>
          <t>2025-07-13 08:08 AM</t>
        </is>
      </c>
    </row>
    <row r="229">
      <c r="A229" s="28" t="inlineStr">
        <is>
          <t>95010526</t>
        </is>
      </c>
      <c r="B229" s="15" t="inlineStr">
        <is>
          <t>B &amp; H SP</t>
        </is>
      </c>
      <c r="C229" s="15" t="inlineStr">
        <is>
          <t>Cigarettes &amp; Tobacco</t>
        </is>
      </c>
      <c r="D229" s="15" t="inlineStr">
        <is>
          <t>Cigrette</t>
        </is>
      </c>
      <c r="E229" s="18" t="n">
        <v>280</v>
      </c>
      <c r="F229" s="18" t="n">
        <v>300</v>
      </c>
      <c r="G229" s="18">
        <f>F229-E229</f>
        <v/>
      </c>
      <c r="H229" s="29" t="n">
        <v>10</v>
      </c>
      <c r="I229" s="18">
        <f>E229*H229</f>
        <v/>
      </c>
      <c r="J229" s="18">
        <f>F229*H229</f>
        <v/>
      </c>
      <c r="K229" s="28">
        <f>IF(H229&lt;=0, "Out of Stock", IF(H229&lt;=5, "Low Stock", "In Stock"))</f>
        <v/>
      </c>
      <c r="L229" s="28" t="inlineStr">
        <is>
          <t>2025-07-16 11:27 AM</t>
        </is>
      </c>
    </row>
    <row r="230">
      <c r="A230" s="26" t="inlineStr">
        <is>
          <t>95010816</t>
        </is>
      </c>
      <c r="B230" s="10" t="inlineStr">
        <is>
          <t>CAPSTAN PALL MALL</t>
        </is>
      </c>
      <c r="C230" s="10" t="inlineStr">
        <is>
          <t>Cigarettes &amp; Tobacco</t>
        </is>
      </c>
      <c r="D230" s="10" t="inlineStr">
        <is>
          <t>Cigrette</t>
        </is>
      </c>
      <c r="E230" s="13" t="n">
        <v>231</v>
      </c>
      <c r="F230" s="13" t="n">
        <v>250</v>
      </c>
      <c r="G230" s="13">
        <f>F230-E230</f>
        <v/>
      </c>
      <c r="H230" s="27" t="n">
        <v>7.6</v>
      </c>
      <c r="I230" s="13">
        <f>E230*H230</f>
        <v/>
      </c>
      <c r="J230" s="13">
        <f>F230*H230</f>
        <v/>
      </c>
      <c r="K230" s="26">
        <f>IF(H230&lt;=0, "Out of Stock", IF(H230&lt;=5, "Low Stock", "In Stock"))</f>
        <v/>
      </c>
      <c r="L230" s="26" t="inlineStr">
        <is>
          <t>2025-07-16 11:22 AM</t>
        </is>
      </c>
    </row>
    <row r="231">
      <c r="A231" s="28" t="inlineStr">
        <is>
          <t>89600078</t>
        </is>
      </c>
      <c r="B231" s="15" t="inlineStr">
        <is>
          <t>CAPSTAN WHITE</t>
        </is>
      </c>
      <c r="C231" s="15" t="inlineStr">
        <is>
          <t>Cigarettes &amp; Tobacco</t>
        </is>
      </c>
      <c r="D231" s="15" t="inlineStr">
        <is>
          <t>Cigrette</t>
        </is>
      </c>
      <c r="E231" s="18" t="n">
        <v>240</v>
      </c>
      <c r="F231" s="18" t="n">
        <v>260</v>
      </c>
      <c r="G231" s="18">
        <f>F231-E231</f>
        <v/>
      </c>
      <c r="H231" s="29" t="n">
        <v>14</v>
      </c>
      <c r="I231" s="18">
        <f>E231*H231</f>
        <v/>
      </c>
      <c r="J231" s="18">
        <f>F231*H231</f>
        <v/>
      </c>
      <c r="K231" s="28">
        <f>IF(H231&lt;=0, "Out of Stock", IF(H231&lt;=5, "Low Stock", "In Stock"))</f>
        <v/>
      </c>
      <c r="L231" s="28" t="inlineStr">
        <is>
          <t>2025-07-16 11:25 AM</t>
        </is>
      </c>
    </row>
    <row r="232">
      <c r="A232" s="26" t="inlineStr">
        <is>
          <t>89600047</t>
        </is>
      </c>
      <c r="B232" s="10" t="inlineStr">
        <is>
          <t>DUNHILL</t>
        </is>
      </c>
      <c r="C232" s="10" t="inlineStr">
        <is>
          <t>Cigarettes &amp; Tobacco</t>
        </is>
      </c>
      <c r="D232" s="10" t="inlineStr">
        <is>
          <t>Cigrette</t>
        </is>
      </c>
      <c r="E232" s="13" t="n">
        <v>580</v>
      </c>
      <c r="F232" s="13" t="n">
        <v>610</v>
      </c>
      <c r="G232" s="13">
        <f>F232-E232</f>
        <v/>
      </c>
      <c r="H232" s="27" t="n">
        <v>15</v>
      </c>
      <c r="I232" s="13">
        <f>E232*H232</f>
        <v/>
      </c>
      <c r="J232" s="13">
        <f>F232*H232</f>
        <v/>
      </c>
      <c r="K232" s="26">
        <f>IF(H232&lt;=0, "Out of Stock", IF(H232&lt;=5, "Low Stock", "In Stock"))</f>
        <v/>
      </c>
      <c r="L232" s="26" t="inlineStr">
        <is>
          <t>2025-07-13 12:16 PM</t>
        </is>
      </c>
    </row>
    <row r="233">
      <c r="A233" s="28" t="inlineStr">
        <is>
          <t>89601426</t>
        </is>
      </c>
      <c r="B233" s="15" t="inlineStr">
        <is>
          <t>DUNHILL GL SP BLEND</t>
        </is>
      </c>
      <c r="C233" s="15" t="inlineStr">
        <is>
          <t>Cigarettes &amp; Tobacco</t>
        </is>
      </c>
      <c r="D233" s="15" t="inlineStr">
        <is>
          <t>Cigrette</t>
        </is>
      </c>
      <c r="E233" s="18" t="n">
        <v>580</v>
      </c>
      <c r="F233" s="18" t="n">
        <v>610</v>
      </c>
      <c r="G233" s="18">
        <f>F233-E233</f>
        <v/>
      </c>
      <c r="H233" s="29" t="n">
        <v>9</v>
      </c>
      <c r="I233" s="18">
        <f>E233*H233</f>
        <v/>
      </c>
      <c r="J233" s="18">
        <f>F233*H233</f>
        <v/>
      </c>
      <c r="K233" s="28">
        <f>IF(H233&lt;=0, "Out of Stock", IF(H233&lt;=5, "Low Stock", "In Stock"))</f>
        <v/>
      </c>
      <c r="L233" s="28" t="inlineStr">
        <is>
          <t>2025-07-16 11:20 AM</t>
        </is>
      </c>
    </row>
    <row r="234">
      <c r="A234" s="26" t="inlineStr">
        <is>
          <t>8801116001941</t>
        </is>
      </c>
      <c r="B234" s="10" t="inlineStr">
        <is>
          <t>ESSE BLACK</t>
        </is>
      </c>
      <c r="C234" s="10" t="inlineStr">
        <is>
          <t>Cigarettes &amp; Tobacco</t>
        </is>
      </c>
      <c r="D234" s="10" t="inlineStr">
        <is>
          <t>Cigrette</t>
        </is>
      </c>
      <c r="E234" s="13" t="n">
        <v>237.74</v>
      </c>
      <c r="F234" s="13" t="n">
        <v>270</v>
      </c>
      <c r="G234" s="13">
        <f>F234-E234</f>
        <v/>
      </c>
      <c r="H234" s="27" t="n">
        <v>243</v>
      </c>
      <c r="I234" s="13">
        <f>E234*H234</f>
        <v/>
      </c>
      <c r="J234" s="13">
        <f>F234*H234</f>
        <v/>
      </c>
      <c r="K234" s="26">
        <f>IF(H234&lt;=0, "Out of Stock", IF(H234&lt;=5, "Low Stock", "In Stock"))</f>
        <v/>
      </c>
      <c r="L234" s="26" t="inlineStr">
        <is>
          <t>2025-07-13 12:12 PM</t>
        </is>
      </c>
    </row>
    <row r="235">
      <c r="A235" s="28" t="inlineStr">
        <is>
          <t>95010557</t>
        </is>
      </c>
      <c r="B235" s="15" t="inlineStr">
        <is>
          <t>GOLD LEAF CLASSIC</t>
        </is>
      </c>
      <c r="C235" s="15" t="inlineStr">
        <is>
          <t>Cigarettes &amp; Tobacco</t>
        </is>
      </c>
      <c r="D235" s="15" t="inlineStr">
        <is>
          <t>Cigrette</t>
        </is>
      </c>
      <c r="E235" s="18" t="n">
        <v>490</v>
      </c>
      <c r="F235" s="18" t="n">
        <v>510</v>
      </c>
      <c r="G235" s="18">
        <f>F235-E235</f>
        <v/>
      </c>
      <c r="H235" s="29" t="n">
        <v>11</v>
      </c>
      <c r="I235" s="18">
        <f>E235*H235</f>
        <v/>
      </c>
      <c r="J235" s="18">
        <f>F235*H235</f>
        <v/>
      </c>
      <c r="K235" s="28">
        <f>IF(H235&lt;=0, "Out of Stock", IF(H235&lt;=5, "Low Stock", "In Stock"))</f>
        <v/>
      </c>
      <c r="L235" s="28" t="inlineStr">
        <is>
          <t>2025-07-18 08:39 AM</t>
        </is>
      </c>
    </row>
    <row r="236">
      <c r="A236" s="26" t="inlineStr">
        <is>
          <t>4791047011239</t>
        </is>
      </c>
      <c r="B236" s="10" t="inlineStr">
        <is>
          <t>GOLD LEAF JOHN PLAYER</t>
        </is>
      </c>
      <c r="C236" s="10" t="inlineStr">
        <is>
          <t>Cigarettes &amp; Tobacco</t>
        </is>
      </c>
      <c r="D236" s="10" t="inlineStr">
        <is>
          <t>Cigrette</t>
        </is>
      </c>
      <c r="E236" s="13" t="n">
        <v>350</v>
      </c>
      <c r="F236" s="13" t="n">
        <v>400</v>
      </c>
      <c r="G236" s="13">
        <f>F236-E236</f>
        <v/>
      </c>
      <c r="H236" s="27" t="n">
        <v>1</v>
      </c>
      <c r="I236" s="13">
        <f>E236*H236</f>
        <v/>
      </c>
      <c r="J236" s="13">
        <f>F236*H236</f>
        <v/>
      </c>
      <c r="K236" s="26">
        <f>IF(H236&lt;=0, "Out of Stock", IF(H236&lt;=5, "Low Stock", "In Stock"))</f>
        <v/>
      </c>
      <c r="L236" s="26" t="inlineStr">
        <is>
          <t>2025-07-13 12:15 PM</t>
        </is>
      </c>
    </row>
    <row r="237">
      <c r="A237" s="28" t="inlineStr">
        <is>
          <t>815082008482</t>
        </is>
      </c>
      <c r="B237" s="15" t="inlineStr">
        <is>
          <t>MILANO LONDON WHITE</t>
        </is>
      </c>
      <c r="C237" s="15" t="inlineStr">
        <is>
          <t>Cigarettes &amp; Tobacco</t>
        </is>
      </c>
      <c r="D237" s="15" t="inlineStr">
        <is>
          <t>Cigrette</t>
        </is>
      </c>
      <c r="E237" s="18" t="n">
        <v>173.96</v>
      </c>
      <c r="F237" s="18" t="n">
        <v>200</v>
      </c>
      <c r="G237" s="18">
        <f>F237-E237</f>
        <v/>
      </c>
      <c r="H237" s="29" t="n">
        <v>13</v>
      </c>
      <c r="I237" s="18">
        <f>E237*H237</f>
        <v/>
      </c>
      <c r="J237" s="18">
        <f>F237*H237</f>
        <v/>
      </c>
      <c r="K237" s="28">
        <f>IF(H237&lt;=0, "Out of Stock", IF(H237&lt;=5, "Low Stock", "In Stock"))</f>
        <v/>
      </c>
      <c r="L237" s="28" t="inlineStr">
        <is>
          <t>2025-07-13 12:31 PM</t>
        </is>
      </c>
    </row>
    <row r="238">
      <c r="A238" s="26" t="inlineStr">
        <is>
          <t>815082009663</t>
        </is>
      </c>
      <c r="B238" s="10" t="inlineStr">
        <is>
          <t>Moneto Red Grape</t>
        </is>
      </c>
      <c r="C238" s="10" t="inlineStr">
        <is>
          <t>Cigarettes &amp; Tobacco</t>
        </is>
      </c>
      <c r="D238" s="10" t="inlineStr">
        <is>
          <t>Cigrette</t>
        </is>
      </c>
      <c r="E238" s="13" t="n">
        <v>100</v>
      </c>
      <c r="F238" s="13" t="n">
        <v>140</v>
      </c>
      <c r="G238" s="13">
        <f>F238-E238</f>
        <v/>
      </c>
      <c r="H238" s="27" t="n">
        <v>6</v>
      </c>
      <c r="I238" s="13">
        <f>E238*H238</f>
        <v/>
      </c>
      <c r="J238" s="13">
        <f>F238*H238</f>
        <v/>
      </c>
      <c r="K238" s="26">
        <f>IF(H238&lt;=0, "Out of Stock", IF(H238&lt;=5, "Low Stock", "In Stock"))</f>
        <v/>
      </c>
      <c r="L238" s="26" t="inlineStr">
        <is>
          <t>2025-07-12 07:50 PM</t>
        </is>
      </c>
    </row>
    <row r="239">
      <c r="A239" s="28" t="inlineStr">
        <is>
          <t>89600115</t>
        </is>
      </c>
      <c r="B239" s="15" t="inlineStr">
        <is>
          <t>Morven Chisterfield</t>
        </is>
      </c>
      <c r="C239" s="15" t="inlineStr">
        <is>
          <t>Cigarettes &amp; Tobacco</t>
        </is>
      </c>
      <c r="D239" s="15" t="inlineStr">
        <is>
          <t>Cigrette</t>
        </is>
      </c>
      <c r="E239" s="18" t="n">
        <v>232</v>
      </c>
      <c r="F239" s="18" t="n">
        <v>260</v>
      </c>
      <c r="G239" s="18">
        <f>F239-E239</f>
        <v/>
      </c>
      <c r="H239" s="29" t="n">
        <v>4</v>
      </c>
      <c r="I239" s="18">
        <f>E239*H239</f>
        <v/>
      </c>
      <c r="J239" s="18">
        <f>F239*H239</f>
        <v/>
      </c>
      <c r="K239" s="28">
        <f>IF(H239&lt;=0, "Out of Stock", IF(H239&lt;=5, "Low Stock", "In Stock"))</f>
        <v/>
      </c>
      <c r="L239" s="28" t="inlineStr">
        <is>
          <t>2025-07-12 07:42 PM</t>
        </is>
      </c>
    </row>
    <row r="240">
      <c r="A240" s="26" t="inlineStr">
        <is>
          <t>88006703</t>
        </is>
      </c>
      <c r="B240" s="10" t="inlineStr">
        <is>
          <t>PINE LIGHT</t>
        </is>
      </c>
      <c r="C240" s="10" t="inlineStr">
        <is>
          <t>Cigarettes &amp; Tobacco</t>
        </is>
      </c>
      <c r="D240" s="10" t="inlineStr">
        <is>
          <t>Cigrette</t>
        </is>
      </c>
      <c r="E240" s="13" t="n">
        <v>153</v>
      </c>
      <c r="F240" s="13" t="n">
        <v>180</v>
      </c>
      <c r="G240" s="13">
        <f>F240-E240</f>
        <v/>
      </c>
      <c r="H240" s="27" t="n">
        <v>29.5</v>
      </c>
      <c r="I240" s="13">
        <f>E240*H240</f>
        <v/>
      </c>
      <c r="J240" s="13">
        <f>F240*H240</f>
        <v/>
      </c>
      <c r="K240" s="26">
        <f>IF(H240&lt;=0, "Out of Stock", IF(H240&lt;=5, "Low Stock", "In Stock"))</f>
        <v/>
      </c>
      <c r="L240" s="26" t="inlineStr">
        <is>
          <t>2025-07-13 12:22 PM</t>
        </is>
      </c>
    </row>
    <row r="241">
      <c r="A241" s="28" t="inlineStr">
        <is>
          <t>89600160</t>
        </is>
      </c>
      <c r="B241" s="15" t="inlineStr">
        <is>
          <t>RED &amp; WHITE SPECIAL</t>
        </is>
      </c>
      <c r="C241" s="15" t="inlineStr">
        <is>
          <t>Cigarettes &amp; Tobacco</t>
        </is>
      </c>
      <c r="D241" s="15" t="inlineStr">
        <is>
          <t>Cigrette</t>
        </is>
      </c>
      <c r="E241" s="18" t="n">
        <v>240</v>
      </c>
      <c r="F241" s="18" t="n">
        <v>260</v>
      </c>
      <c r="G241" s="18">
        <f>F241-E241</f>
        <v/>
      </c>
      <c r="H241" s="29" t="n">
        <v>2.5</v>
      </c>
      <c r="I241" s="18">
        <f>E241*H241</f>
        <v/>
      </c>
      <c r="J241" s="18">
        <f>F241*H241</f>
        <v/>
      </c>
      <c r="K241" s="28">
        <f>IF(H241&lt;=0, "Out of Stock", IF(H241&lt;=5, "Low Stock", "In Stock"))</f>
        <v/>
      </c>
      <c r="L241" s="28" t="inlineStr">
        <is>
          <t>2025-07-13 12:14 PM</t>
        </is>
      </c>
    </row>
    <row r="242">
      <c r="A242" s="26" t="inlineStr">
        <is>
          <t>76239878</t>
        </is>
      </c>
      <c r="B242" s="10" t="inlineStr">
        <is>
          <t>MARLBORO GOLD</t>
        </is>
      </c>
      <c r="C242" s="10" t="inlineStr">
        <is>
          <t>Cigarettes &amp; Tobacco</t>
        </is>
      </c>
      <c r="D242" s="10" t="inlineStr">
        <is>
          <t>Cigrettee</t>
        </is>
      </c>
      <c r="E242" s="13" t="n">
        <v>530</v>
      </c>
      <c r="F242" s="13" t="n">
        <v>570</v>
      </c>
      <c r="G242" s="13">
        <f>F242-E242</f>
        <v/>
      </c>
      <c r="H242" s="27" t="n">
        <v>4</v>
      </c>
      <c r="I242" s="13">
        <f>E242*H242</f>
        <v/>
      </c>
      <c r="J242" s="13">
        <f>F242*H242</f>
        <v/>
      </c>
      <c r="K242" s="26">
        <f>IF(H242&lt;=0, "Out of Stock", IF(H242&lt;=5, "Low Stock", "In Stock"))</f>
        <v/>
      </c>
      <c r="L242" s="26" t="inlineStr">
        <is>
          <t>2025-07-13 12:17 PM</t>
        </is>
      </c>
    </row>
    <row r="243">
      <c r="A243" s="28" t="inlineStr">
        <is>
          <t>815082008130</t>
        </is>
      </c>
      <c r="B243" s="15" t="inlineStr">
        <is>
          <t>MILANO BLUE</t>
        </is>
      </c>
      <c r="C243" s="15" t="inlineStr">
        <is>
          <t>Cigarettes &amp; Tobacco</t>
        </is>
      </c>
      <c r="D243" s="15" t="inlineStr">
        <is>
          <t>Cigrettee</t>
        </is>
      </c>
      <c r="E243" s="18" t="n">
        <v>140.33</v>
      </c>
      <c r="F243" s="18" t="n">
        <v>180</v>
      </c>
      <c r="G243" s="18">
        <f>F243-E243</f>
        <v/>
      </c>
      <c r="H243" s="29" t="n">
        <v>20</v>
      </c>
      <c r="I243" s="18">
        <f>E243*H243</f>
        <v/>
      </c>
      <c r="J243" s="18">
        <f>F243*H243</f>
        <v/>
      </c>
      <c r="K243" s="28">
        <f>IF(H243&lt;=0, "Out of Stock", IF(H243&lt;=5, "Low Stock", "In Stock"))</f>
        <v/>
      </c>
      <c r="L243" s="28" t="inlineStr">
        <is>
          <t>2025-07-13 12:34 PM</t>
        </is>
      </c>
    </row>
    <row r="244">
      <c r="A244" s="26" t="inlineStr">
        <is>
          <t>815082008468</t>
        </is>
      </c>
      <c r="B244" s="10" t="inlineStr">
        <is>
          <t>MILANO LONDON BLACK</t>
        </is>
      </c>
      <c r="C244" s="10" t="inlineStr">
        <is>
          <t>Cigarettes &amp; Tobacco</t>
        </is>
      </c>
      <c r="D244" s="10" t="inlineStr">
        <is>
          <t>Cigrettee</t>
        </is>
      </c>
      <c r="E244" s="13" t="n">
        <v>175</v>
      </c>
      <c r="F244" s="13" t="n">
        <v>200</v>
      </c>
      <c r="G244" s="13">
        <f>F244-E244</f>
        <v/>
      </c>
      <c r="H244" s="27" t="n">
        <v>1</v>
      </c>
      <c r="I244" s="13">
        <f>E244*H244</f>
        <v/>
      </c>
      <c r="J244" s="13">
        <f>F244*H244</f>
        <v/>
      </c>
      <c r="K244" s="26">
        <f>IF(H244&lt;=0, "Out of Stock", IF(H244&lt;=5, "Low Stock", "In Stock"))</f>
        <v/>
      </c>
      <c r="L244" s="26" t="inlineStr">
        <is>
          <t>2025-07-13 12:35 PM</t>
        </is>
      </c>
    </row>
    <row r="245">
      <c r="A245" s="28" t="inlineStr">
        <is>
          <t>PROD-20250717-214837-NEW</t>
        </is>
      </c>
      <c r="B245" s="15" t="inlineStr">
        <is>
          <t>555 FILTERED POUCHES</t>
        </is>
      </c>
      <c r="C245" s="15" t="inlineStr">
        <is>
          <t>Cigarettes &amp; Tobacco</t>
        </is>
      </c>
      <c r="D245" s="15" t="inlineStr">
        <is>
          <t>Naswar</t>
        </is>
      </c>
      <c r="E245" s="18" t="n">
        <v>53.4</v>
      </c>
      <c r="F245" s="18" t="n">
        <v>100</v>
      </c>
      <c r="G245" s="18">
        <f>F245-E245</f>
        <v/>
      </c>
      <c r="H245" s="29" t="n">
        <v>152</v>
      </c>
      <c r="I245" s="18">
        <f>E245*H245</f>
        <v/>
      </c>
      <c r="J245" s="18">
        <f>F245*H245</f>
        <v/>
      </c>
      <c r="K245" s="28">
        <f>IF(H245&lt;=0, "Out of Stock", IF(H245&lt;=5, "Low Stock", "In Stock"))</f>
        <v/>
      </c>
      <c r="L245" s="28" t="inlineStr">
        <is>
          <t>2025-07-17 04:50 PM</t>
        </is>
      </c>
    </row>
    <row r="246">
      <c r="A246" s="26" t="inlineStr">
        <is>
          <t>89601372</t>
        </is>
      </c>
      <c r="B246" s="10" t="inlineStr">
        <is>
          <t>VELO 3 DOT POLAR MINT</t>
        </is>
      </c>
      <c r="C246" s="10" t="inlineStr">
        <is>
          <t>Cigarettes &amp; Tobacco</t>
        </is>
      </c>
      <c r="D246" s="10" t="inlineStr">
        <is>
          <t>Nicotine</t>
        </is>
      </c>
      <c r="E246" s="13" t="n">
        <v>216</v>
      </c>
      <c r="F246" s="13" t="n">
        <v>250</v>
      </c>
      <c r="G246" s="13">
        <f>F246-E246</f>
        <v/>
      </c>
      <c r="H246" s="27" t="n">
        <v>39</v>
      </c>
      <c r="I246" s="13">
        <f>E246*H246</f>
        <v/>
      </c>
      <c r="J246" s="13">
        <f>F246*H246</f>
        <v/>
      </c>
      <c r="K246" s="26">
        <f>IF(H246&lt;=0, "Out of Stock", IF(H246&lt;=5, "Low Stock", "In Stock"))</f>
        <v/>
      </c>
      <c r="L246" s="26" t="inlineStr">
        <is>
          <t>2025-07-20 12:25 PM</t>
        </is>
      </c>
    </row>
    <row r="247">
      <c r="A247" s="28" t="inlineStr">
        <is>
          <t>89601365</t>
        </is>
      </c>
      <c r="B247" s="15" t="inlineStr">
        <is>
          <t>Velo 3 Dot Berry Frost</t>
        </is>
      </c>
      <c r="C247" s="15" t="inlineStr">
        <is>
          <t>Cigarettes &amp; Tobacco</t>
        </is>
      </c>
      <c r="D247" s="15" t="inlineStr">
        <is>
          <t>Nicotine</t>
        </is>
      </c>
      <c r="E247" s="18" t="n">
        <v>216</v>
      </c>
      <c r="F247" s="18" t="n">
        <v>250</v>
      </c>
      <c r="G247" s="18">
        <f>F247-E247</f>
        <v/>
      </c>
      <c r="H247" s="29" t="n">
        <v>66</v>
      </c>
      <c r="I247" s="18">
        <f>E247*H247</f>
        <v/>
      </c>
      <c r="J247" s="18">
        <f>F247*H247</f>
        <v/>
      </c>
      <c r="K247" s="28">
        <f>IF(H247&lt;=0, "Out of Stock", IF(H247&lt;=5, "Low Stock", "In Stock"))</f>
        <v/>
      </c>
      <c r="L247" s="28" t="inlineStr">
        <is>
          <t>2025-07-12 07:53 PM</t>
        </is>
      </c>
    </row>
    <row r="248">
      <c r="A248" s="26" t="inlineStr">
        <is>
          <t>89601785</t>
        </is>
      </c>
      <c r="B248" s="10" t="inlineStr">
        <is>
          <t>Velo 5 Dot Berry Frost</t>
        </is>
      </c>
      <c r="C248" s="10" t="inlineStr">
        <is>
          <t>Cigarettes &amp; Tobacco</t>
        </is>
      </c>
      <c r="D248" s="10" t="inlineStr">
        <is>
          <t>Nicotine</t>
        </is>
      </c>
      <c r="E248" s="13" t="n">
        <v>236</v>
      </c>
      <c r="F248" s="13" t="n">
        <v>280</v>
      </c>
      <c r="G248" s="13">
        <f>F248-E248</f>
        <v/>
      </c>
      <c r="H248" s="27" t="n">
        <v>61</v>
      </c>
      <c r="I248" s="13">
        <f>E248*H248</f>
        <v/>
      </c>
      <c r="J248" s="13">
        <f>F248*H248</f>
        <v/>
      </c>
      <c r="K248" s="26">
        <f>IF(H248&lt;=0, "Out of Stock", IF(H248&lt;=5, "Low Stock", "In Stock"))</f>
        <v/>
      </c>
      <c r="L248" s="26" t="inlineStr">
        <is>
          <t>2025-07-12 07:54 PM</t>
        </is>
      </c>
    </row>
    <row r="249">
      <c r="A249" s="28" t="inlineStr">
        <is>
          <t>89601778</t>
        </is>
      </c>
      <c r="B249" s="15" t="inlineStr">
        <is>
          <t>Velo 5 Dot Polar Mint</t>
        </is>
      </c>
      <c r="C249" s="15" t="inlineStr">
        <is>
          <t>Cigarettes &amp; Tobacco</t>
        </is>
      </c>
      <c r="D249" s="15" t="inlineStr">
        <is>
          <t>Nicotine</t>
        </is>
      </c>
      <c r="E249" s="18" t="n">
        <v>236</v>
      </c>
      <c r="F249" s="18" t="n">
        <v>280</v>
      </c>
      <c r="G249" s="18">
        <f>F249-E249</f>
        <v/>
      </c>
      <c r="H249" s="29" t="n">
        <v>56</v>
      </c>
      <c r="I249" s="18">
        <f>E249*H249</f>
        <v/>
      </c>
      <c r="J249" s="18">
        <f>F249*H249</f>
        <v/>
      </c>
      <c r="K249" s="28">
        <f>IF(H249&lt;=0, "Out of Stock", IF(H249&lt;=5, "Low Stock", "In Stock"))</f>
        <v/>
      </c>
      <c r="L249" s="28" t="inlineStr">
        <is>
          <t>2025-07-12 07:55 PM</t>
        </is>
      </c>
    </row>
    <row r="250">
      <c r="A250" s="26" t="inlineStr">
        <is>
          <t>1523648574546</t>
        </is>
      </c>
      <c r="B250" s="10" t="inlineStr">
        <is>
          <t>EGON FABRIC BLEACH</t>
        </is>
      </c>
      <c r="C250" s="10" t="inlineStr">
        <is>
          <t>Cleaning &amp; Household</t>
        </is>
      </c>
      <c r="D250" s="10" t="inlineStr">
        <is>
          <t>Bleach</t>
        </is>
      </c>
      <c r="E250" s="13" t="n">
        <v>110</v>
      </c>
      <c r="F250" s="13" t="n">
        <v>170</v>
      </c>
      <c r="G250" s="13">
        <f>F250-E250</f>
        <v/>
      </c>
      <c r="H250" s="27" t="n">
        <v>8</v>
      </c>
      <c r="I250" s="13">
        <f>E250*H250</f>
        <v/>
      </c>
      <c r="J250" s="13">
        <f>F250*H250</f>
        <v/>
      </c>
      <c r="K250" s="26">
        <f>IF(H250&lt;=0, "Out of Stock", IF(H250&lt;=5, "Low Stock", "In Stock"))</f>
        <v/>
      </c>
      <c r="L250" s="26" t="inlineStr">
        <is>
          <t>2025-07-14 04:40 PM</t>
        </is>
      </c>
    </row>
    <row r="251">
      <c r="A251" s="28" t="inlineStr">
        <is>
          <t>5487573214563</t>
        </is>
      </c>
      <c r="B251" s="15" t="inlineStr">
        <is>
          <t>EGON FABRIC BLEACH 500ML</t>
        </is>
      </c>
      <c r="C251" s="15" t="inlineStr">
        <is>
          <t>Cleaning &amp; Household</t>
        </is>
      </c>
      <c r="D251" s="15" t="inlineStr">
        <is>
          <t>Bleach</t>
        </is>
      </c>
      <c r="E251" s="18" t="n">
        <v>226</v>
      </c>
      <c r="F251" s="18" t="n">
        <v>295</v>
      </c>
      <c r="G251" s="18">
        <f>F251-E251</f>
        <v/>
      </c>
      <c r="H251" s="29" t="n">
        <v>3</v>
      </c>
      <c r="I251" s="18">
        <f>E251*H251</f>
        <v/>
      </c>
      <c r="J251" s="18">
        <f>F251*H251</f>
        <v/>
      </c>
      <c r="K251" s="28">
        <f>IF(H251&lt;=0, "Out of Stock", IF(H251&lt;=5, "Low Stock", "In Stock"))</f>
        <v/>
      </c>
      <c r="L251" s="28" t="inlineStr">
        <is>
          <t>2025-07-14 06:46 PM</t>
        </is>
      </c>
    </row>
    <row r="252">
      <c r="A252" s="26" t="inlineStr">
        <is>
          <t>PROD-20250718-194832-NEW</t>
        </is>
      </c>
      <c r="B252" s="10" t="inlineStr">
        <is>
          <t>BROOM 400GRAM</t>
        </is>
      </c>
      <c r="C252" s="10" t="inlineStr">
        <is>
          <t>Cleaning &amp; Household</t>
        </is>
      </c>
      <c r="D252" s="10" t="inlineStr">
        <is>
          <t>Broom</t>
        </is>
      </c>
      <c r="E252" s="13" t="n">
        <v>100</v>
      </c>
      <c r="F252" s="13" t="n">
        <v>150</v>
      </c>
      <c r="G252" s="13">
        <f>F252-E252</f>
        <v/>
      </c>
      <c r="H252" s="27" t="n">
        <v>9</v>
      </c>
      <c r="I252" s="13">
        <f>E252*H252</f>
        <v/>
      </c>
      <c r="J252" s="13">
        <f>F252*H252</f>
        <v/>
      </c>
      <c r="K252" s="26">
        <f>IF(H252&lt;=0, "Out of Stock", IF(H252&lt;=5, "Low Stock", "In Stock"))</f>
        <v/>
      </c>
      <c r="L252" s="26" t="inlineStr">
        <is>
          <t>2025-07-18 02:50 PM</t>
        </is>
      </c>
    </row>
    <row r="253">
      <c r="A253" s="28" t="inlineStr">
        <is>
          <t>PROD-20250718-195101-NEW</t>
        </is>
      </c>
      <c r="B253" s="15" t="inlineStr">
        <is>
          <t>BROOM 450GRAM</t>
        </is>
      </c>
      <c r="C253" s="15" t="inlineStr">
        <is>
          <t>Cleaning &amp; Household</t>
        </is>
      </c>
      <c r="D253" s="15" t="inlineStr">
        <is>
          <t>Broom</t>
        </is>
      </c>
      <c r="E253" s="18" t="n">
        <v>112</v>
      </c>
      <c r="F253" s="18" t="n">
        <v>170</v>
      </c>
      <c r="G253" s="18">
        <f>F253-E253</f>
        <v/>
      </c>
      <c r="H253" s="29" t="n">
        <v>10</v>
      </c>
      <c r="I253" s="18">
        <f>E253*H253</f>
        <v/>
      </c>
      <c r="J253" s="18">
        <f>F253*H253</f>
        <v/>
      </c>
      <c r="K253" s="28">
        <f>IF(H253&lt;=0, "Out of Stock", IF(H253&lt;=5, "Low Stock", "In Stock"))</f>
        <v/>
      </c>
      <c r="L253" s="28" t="inlineStr">
        <is>
          <t>2025-07-18 02:51 PM</t>
        </is>
      </c>
    </row>
    <row r="254">
      <c r="A254" s="26" t="inlineStr">
        <is>
          <t>PROD-20250718-195353-NEW</t>
        </is>
      </c>
      <c r="B254" s="10" t="inlineStr">
        <is>
          <t>CHINA BROOM</t>
        </is>
      </c>
      <c r="C254" s="10" t="inlineStr">
        <is>
          <t>Cleaning &amp; Household</t>
        </is>
      </c>
      <c r="D254" s="10" t="inlineStr">
        <is>
          <t>Broom</t>
        </is>
      </c>
      <c r="E254" s="13" t="n">
        <v>84</v>
      </c>
      <c r="F254" s="13" t="n">
        <v>170</v>
      </c>
      <c r="G254" s="13">
        <f>F254-E254</f>
        <v/>
      </c>
      <c r="H254" s="27" t="n">
        <v>12</v>
      </c>
      <c r="I254" s="13">
        <f>E254*H254</f>
        <v/>
      </c>
      <c r="J254" s="13">
        <f>F254*H254</f>
        <v/>
      </c>
      <c r="K254" s="26">
        <f>IF(H254&lt;=0, "Out of Stock", IF(H254&lt;=5, "Low Stock", "In Stock"))</f>
        <v/>
      </c>
      <c r="L254" s="26" t="inlineStr">
        <is>
          <t>2025-07-18 02:54 PM</t>
        </is>
      </c>
    </row>
    <row r="255">
      <c r="A255" s="28" t="inlineStr">
        <is>
          <t>PROD-20250718-195437-NEW</t>
        </is>
      </c>
      <c r="B255" s="15" t="inlineStr">
        <is>
          <t>LAHORI BROOM</t>
        </is>
      </c>
      <c r="C255" s="15" t="inlineStr">
        <is>
          <t>Cleaning &amp; Household</t>
        </is>
      </c>
      <c r="D255" s="15" t="inlineStr">
        <is>
          <t>Broom</t>
        </is>
      </c>
      <c r="E255" s="18" t="n">
        <v>150</v>
      </c>
      <c r="F255" s="18" t="n">
        <v>250</v>
      </c>
      <c r="G255" s="18">
        <f>F255-E255</f>
        <v/>
      </c>
      <c r="H255" s="29" t="n">
        <v>10</v>
      </c>
      <c r="I255" s="18">
        <f>E255*H255</f>
        <v/>
      </c>
      <c r="J255" s="18">
        <f>F255*H255</f>
        <v/>
      </c>
      <c r="K255" s="28">
        <f>IF(H255&lt;=0, "Out of Stock", IF(H255&lt;=5, "Low Stock", "In Stock"))</f>
        <v/>
      </c>
      <c r="L255" s="28" t="inlineStr">
        <is>
          <t>2025-07-18 02:55 PM</t>
        </is>
      </c>
    </row>
    <row r="256">
      <c r="A256" s="26" t="inlineStr">
        <is>
          <t>PROD-20250718-193759-NEW</t>
        </is>
      </c>
      <c r="B256" s="10" t="inlineStr">
        <is>
          <t>GOOL DABA BATH BRUSH</t>
        </is>
      </c>
      <c r="C256" s="10" t="inlineStr">
        <is>
          <t>Cleaning &amp; Household</t>
        </is>
      </c>
      <c r="D256" s="10" t="inlineStr">
        <is>
          <t>Cleaning Brush</t>
        </is>
      </c>
      <c r="E256" s="13" t="n">
        <v>110</v>
      </c>
      <c r="F256" s="13" t="n">
        <v>250</v>
      </c>
      <c r="G256" s="13">
        <f>F256-E256</f>
        <v/>
      </c>
      <c r="H256" s="27" t="n">
        <v>5</v>
      </c>
      <c r="I256" s="13">
        <f>E256*H256</f>
        <v/>
      </c>
      <c r="J256" s="13">
        <f>F256*H256</f>
        <v/>
      </c>
      <c r="K256" s="26">
        <f>IF(H256&lt;=0, "Out of Stock", IF(H256&lt;=5, "Low Stock", "In Stock"))</f>
        <v/>
      </c>
      <c r="L256" s="26" t="inlineStr">
        <is>
          <t>2025-07-18 02:38 PM</t>
        </is>
      </c>
    </row>
    <row r="257">
      <c r="A257" s="28" t="inlineStr">
        <is>
          <t>PROD-20250718-193528-NEW</t>
        </is>
      </c>
      <c r="B257" s="15" t="inlineStr">
        <is>
          <t>MOOR RANGEEN BRUSH</t>
        </is>
      </c>
      <c r="C257" s="15" t="inlineStr">
        <is>
          <t>Cleaning &amp; Household</t>
        </is>
      </c>
      <c r="D257" s="15" t="inlineStr">
        <is>
          <t>Cleaning Brush</t>
        </is>
      </c>
      <c r="E257" s="18" t="n">
        <v>125</v>
      </c>
      <c r="F257" s="18" t="n">
        <v>180</v>
      </c>
      <c r="G257" s="18">
        <f>F257-E257</f>
        <v/>
      </c>
      <c r="H257" s="29" t="n">
        <v>6</v>
      </c>
      <c r="I257" s="18">
        <f>E257*H257</f>
        <v/>
      </c>
      <c r="J257" s="18">
        <f>F257*H257</f>
        <v/>
      </c>
      <c r="K257" s="28">
        <f>IF(H257&lt;=0, "Out of Stock", IF(H257&lt;=5, "Low Stock", "In Stock"))</f>
        <v/>
      </c>
      <c r="L257" s="28" t="inlineStr">
        <is>
          <t>2025-07-18 02:36 PM</t>
        </is>
      </c>
    </row>
    <row r="258">
      <c r="A258" s="26" t="inlineStr">
        <is>
          <t>PROD-20250718-195546-NEW</t>
        </is>
      </c>
      <c r="B258" s="10" t="inlineStr">
        <is>
          <t>STAR FLOOR CLEANING BRUSH</t>
        </is>
      </c>
      <c r="C258" s="10" t="inlineStr">
        <is>
          <t>Cleaning &amp; Household</t>
        </is>
      </c>
      <c r="D258" s="10" t="inlineStr">
        <is>
          <t>Cleaning Brush</t>
        </is>
      </c>
      <c r="E258" s="13" t="n">
        <v>316</v>
      </c>
      <c r="F258" s="13" t="n">
        <v>450</v>
      </c>
      <c r="G258" s="13">
        <f>F258-E258</f>
        <v/>
      </c>
      <c r="H258" s="27" t="n">
        <v>15</v>
      </c>
      <c r="I258" s="13">
        <f>E258*H258</f>
        <v/>
      </c>
      <c r="J258" s="13">
        <f>F258*H258</f>
        <v/>
      </c>
      <c r="K258" s="26">
        <f>IF(H258&lt;=0, "Out of Stock", IF(H258&lt;=5, "Low Stock", "In Stock"))</f>
        <v/>
      </c>
      <c r="L258" s="26" t="inlineStr">
        <is>
          <t>2025-07-18 02:57 PM</t>
        </is>
      </c>
    </row>
    <row r="259">
      <c r="A259" s="28" t="inlineStr">
        <is>
          <t>PROD-20250718-203841-NEW</t>
        </is>
      </c>
      <c r="B259" s="15" t="inlineStr">
        <is>
          <t>SCRUBBER 38 GRAM</t>
        </is>
      </c>
      <c r="C259" s="15" t="inlineStr">
        <is>
          <t>Cleaning &amp; Household</t>
        </is>
      </c>
      <c r="D259" s="15" t="inlineStr">
        <is>
          <t>Crubber</t>
        </is>
      </c>
      <c r="E259" s="18" t="n">
        <v>40</v>
      </c>
      <c r="F259" s="18" t="n">
        <v>60</v>
      </c>
      <c r="G259" s="18">
        <f>F259-E259</f>
        <v/>
      </c>
      <c r="H259" s="29" t="n">
        <v>36</v>
      </c>
      <c r="I259" s="18">
        <f>E259*H259</f>
        <v/>
      </c>
      <c r="J259" s="18">
        <f>F259*H259</f>
        <v/>
      </c>
      <c r="K259" s="28">
        <f>IF(H259&lt;=0, "Out of Stock", IF(H259&lt;=5, "Low Stock", "In Stock"))</f>
        <v/>
      </c>
      <c r="L259" s="28" t="inlineStr">
        <is>
          <t>2025-07-18 03:46 PM</t>
        </is>
      </c>
    </row>
    <row r="260">
      <c r="A260" s="26" t="inlineStr">
        <is>
          <t>8886950096162</t>
        </is>
      </c>
      <c r="B260" s="10" t="inlineStr">
        <is>
          <t>MAX DISHWASH LIQUID</t>
        </is>
      </c>
      <c r="C260" s="10" t="inlineStr">
        <is>
          <t>Cleaning &amp; Household</t>
        </is>
      </c>
      <c r="D260" s="10" t="inlineStr">
        <is>
          <t>Dishwash Liquid</t>
        </is>
      </c>
      <c r="E260" s="13" t="n">
        <v>141</v>
      </c>
      <c r="F260" s="13" t="n">
        <v>165</v>
      </c>
      <c r="G260" s="13">
        <f>F260-E260</f>
        <v/>
      </c>
      <c r="H260" s="27" t="n">
        <v>12</v>
      </c>
      <c r="I260" s="13">
        <f>E260*H260</f>
        <v/>
      </c>
      <c r="J260" s="13">
        <f>F260*H260</f>
        <v/>
      </c>
      <c r="K260" s="26">
        <f>IF(H260&lt;=0, "Out of Stock", IF(H260&lt;=5, "Low Stock", "In Stock"))</f>
        <v/>
      </c>
      <c r="L260" s="26" t="inlineStr">
        <is>
          <t>2025-07-14 11:14 AM</t>
        </is>
      </c>
    </row>
    <row r="261">
      <c r="A261" s="28" t="inlineStr">
        <is>
          <t>5666102483667</t>
        </is>
      </c>
      <c r="B261" s="15" t="inlineStr">
        <is>
          <t>EGON DISH WASH LIQUID</t>
        </is>
      </c>
      <c r="C261" s="15" t="inlineStr">
        <is>
          <t>Cleaning &amp; Household</t>
        </is>
      </c>
      <c r="D261" s="15" t="inlineStr">
        <is>
          <t>Dishwassh</t>
        </is>
      </c>
      <c r="E261" s="18" t="n">
        <v>196</v>
      </c>
      <c r="F261" s="18" t="n">
        <v>280</v>
      </c>
      <c r="G261" s="18">
        <f>F261-E261</f>
        <v/>
      </c>
      <c r="H261" s="29" t="n">
        <v>12</v>
      </c>
      <c r="I261" s="18">
        <f>E261*H261</f>
        <v/>
      </c>
      <c r="J261" s="18">
        <f>F261*H261</f>
        <v/>
      </c>
      <c r="K261" s="28">
        <f>IF(H261&lt;=0, "Out of Stock", IF(H261&lt;=5, "Low Stock", "In Stock"))</f>
        <v/>
      </c>
      <c r="L261" s="28" t="inlineStr">
        <is>
          <t>2025-08-03 09:05 AM</t>
        </is>
      </c>
    </row>
    <row r="262">
      <c r="A262" s="26" t="inlineStr">
        <is>
          <t>8886950096179</t>
        </is>
      </c>
      <c r="B262" s="10" t="inlineStr">
        <is>
          <t>MAX DISHWASH LIQUID BG</t>
        </is>
      </c>
      <c r="C262" s="10" t="inlineStr">
        <is>
          <t>Cleaning &amp; Household</t>
        </is>
      </c>
      <c r="D262" s="10" t="inlineStr">
        <is>
          <t>Disshwashliquid</t>
        </is>
      </c>
      <c r="E262" s="13" t="n">
        <v>234</v>
      </c>
      <c r="F262" s="13" t="n">
        <v>260</v>
      </c>
      <c r="G262" s="13">
        <f>F262-E262</f>
        <v/>
      </c>
      <c r="H262" s="27" t="n">
        <v>2</v>
      </c>
      <c r="I262" s="13">
        <f>E262*H262</f>
        <v/>
      </c>
      <c r="J262" s="13">
        <f>F262*H262</f>
        <v/>
      </c>
      <c r="K262" s="26">
        <f>IF(H262&lt;=0, "Out of Stock", IF(H262&lt;=5, "Low Stock", "In Stock"))</f>
        <v/>
      </c>
      <c r="L262" s="26" t="inlineStr">
        <is>
          <t>2025-07-14 11:18 AM</t>
        </is>
      </c>
    </row>
    <row r="263">
      <c r="A263" s="28" t="inlineStr">
        <is>
          <t>PROD-20250718-202313-NEW</t>
        </is>
      </c>
      <c r="B263" s="15" t="inlineStr">
        <is>
          <t>YELLOW WT MOP</t>
        </is>
      </c>
      <c r="C263" s="15" t="inlineStr">
        <is>
          <t>Cleaning &amp; Household</t>
        </is>
      </c>
      <c r="D263" s="15" t="inlineStr">
        <is>
          <t>Mop</t>
        </is>
      </c>
      <c r="E263" s="18" t="n">
        <v>250</v>
      </c>
      <c r="F263" s="18" t="n">
        <v>450</v>
      </c>
      <c r="G263" s="18">
        <f>F263-E263</f>
        <v/>
      </c>
      <c r="H263" s="29" t="n">
        <v>6</v>
      </c>
      <c r="I263" s="18">
        <f>E263*H263</f>
        <v/>
      </c>
      <c r="J263" s="18">
        <f>F263*H263</f>
        <v/>
      </c>
      <c r="K263" s="28">
        <f>IF(H263&lt;=0, "Out of Stock", IF(H263&lt;=5, "Low Stock", "In Stock"))</f>
        <v/>
      </c>
      <c r="L263" s="28" t="inlineStr">
        <is>
          <t>2025-07-18 03:24 PM</t>
        </is>
      </c>
    </row>
    <row r="264">
      <c r="A264" s="26" t="inlineStr">
        <is>
          <t>5487574587147</t>
        </is>
      </c>
      <c r="B264" s="10" t="inlineStr">
        <is>
          <t>EGON PHENYL 1 LTR</t>
        </is>
      </c>
      <c r="C264" s="10" t="inlineStr">
        <is>
          <t>Cleaning &amp; Household</t>
        </is>
      </c>
      <c r="D264" s="10" t="inlineStr">
        <is>
          <t>Phenyl</t>
        </is>
      </c>
      <c r="E264" s="13" t="n">
        <v>124</v>
      </c>
      <c r="F264" s="13" t="n">
        <v>180</v>
      </c>
      <c r="G264" s="13">
        <f>F264-E264</f>
        <v/>
      </c>
      <c r="H264" s="27" t="n">
        <v>11</v>
      </c>
      <c r="I264" s="13">
        <f>E264*H264</f>
        <v/>
      </c>
      <c r="J264" s="13">
        <f>F264*H264</f>
        <v/>
      </c>
      <c r="K264" s="26">
        <f>IF(H264&lt;=0, "Out of Stock", IF(H264&lt;=5, "Low Stock", "In Stock"))</f>
        <v/>
      </c>
      <c r="L264" s="26" t="inlineStr">
        <is>
          <t>2025-07-16 11:36 AM</t>
        </is>
      </c>
    </row>
    <row r="265">
      <c r="A265" s="28" t="inlineStr">
        <is>
          <t>5487578954143</t>
        </is>
      </c>
      <c r="B265" s="15" t="inlineStr">
        <is>
          <t>EGON PHENYL 2.75 LTR</t>
        </is>
      </c>
      <c r="C265" s="15" t="inlineStr">
        <is>
          <t>Cleaning &amp; Household</t>
        </is>
      </c>
      <c r="D265" s="15" t="inlineStr">
        <is>
          <t>Phenyl</t>
        </is>
      </c>
      <c r="E265" s="18" t="n">
        <v>275</v>
      </c>
      <c r="F265" s="18" t="n">
        <v>380</v>
      </c>
      <c r="G265" s="18">
        <f>F265-E265</f>
        <v/>
      </c>
      <c r="H265" s="29" t="n">
        <v>7</v>
      </c>
      <c r="I265" s="18">
        <f>E265*H265</f>
        <v/>
      </c>
      <c r="J265" s="18">
        <f>F265*H265</f>
        <v/>
      </c>
      <c r="K265" s="28">
        <f>IF(H265&lt;=0, "Out of Stock", IF(H265&lt;=5, "Low Stock", "In Stock"))</f>
        <v/>
      </c>
      <c r="L265" s="28" t="inlineStr">
        <is>
          <t>2025-07-14 07:48 PM</t>
        </is>
      </c>
    </row>
    <row r="266">
      <c r="A266" s="26" t="inlineStr">
        <is>
          <t>5568794857880</t>
        </is>
      </c>
      <c r="B266" s="10" t="inlineStr">
        <is>
          <t>RAPID PHENYL 3 LTR</t>
        </is>
      </c>
      <c r="C266" s="10" t="inlineStr">
        <is>
          <t>Cleaning &amp; Household</t>
        </is>
      </c>
      <c r="D266" s="10" t="inlineStr">
        <is>
          <t>Phenyl</t>
        </is>
      </c>
      <c r="E266" s="13" t="n">
        <v>238</v>
      </c>
      <c r="F266" s="13" t="n">
        <v>385</v>
      </c>
      <c r="G266" s="13">
        <f>F266-E266</f>
        <v/>
      </c>
      <c r="H266" s="27" t="n">
        <v>22</v>
      </c>
      <c r="I266" s="13">
        <f>E266*H266</f>
        <v/>
      </c>
      <c r="J266" s="13">
        <f>F266*H266</f>
        <v/>
      </c>
      <c r="K266" s="26">
        <f>IF(H266&lt;=0, "Out of Stock", IF(H266&lt;=5, "Low Stock", "In Stock"))</f>
        <v/>
      </c>
      <c r="L266" s="26" t="inlineStr">
        <is>
          <t>2025-07-14 07:43 PM</t>
        </is>
      </c>
    </row>
    <row r="267">
      <c r="A267" s="28" t="inlineStr">
        <is>
          <t>9780201379525</t>
        </is>
      </c>
      <c r="B267" s="15" t="inlineStr">
        <is>
          <t>ROYAL CLASSIC PHENYL 1LTR</t>
        </is>
      </c>
      <c r="C267" s="15" t="inlineStr">
        <is>
          <t>Cleaning &amp; Household</t>
        </is>
      </c>
      <c r="D267" s="15" t="inlineStr">
        <is>
          <t>Phenyl</t>
        </is>
      </c>
      <c r="E267" s="18" t="n">
        <v>124</v>
      </c>
      <c r="F267" s="18" t="n">
        <v>200</v>
      </c>
      <c r="G267" s="18">
        <f>F267-E267</f>
        <v/>
      </c>
      <c r="H267" s="29" t="n">
        <v>5</v>
      </c>
      <c r="I267" s="18">
        <f>E267*H267</f>
        <v/>
      </c>
      <c r="J267" s="18">
        <f>F267*H267</f>
        <v/>
      </c>
      <c r="K267" s="28">
        <f>IF(H267&lt;=0, "Out of Stock", IF(H267&lt;=5, "Low Stock", "In Stock"))</f>
        <v/>
      </c>
      <c r="L267" s="28" t="inlineStr">
        <is>
          <t>2025-07-14 04:46 PM</t>
        </is>
      </c>
    </row>
    <row r="268">
      <c r="A268" s="26" t="inlineStr">
        <is>
          <t>PROD-20250718-211142-NEW</t>
        </is>
      </c>
      <c r="B268" s="10" t="inlineStr">
        <is>
          <t>SCRUBBER 15GRAM</t>
        </is>
      </c>
      <c r="C268" s="10" t="inlineStr">
        <is>
          <t>Cleaning &amp; Household</t>
        </is>
      </c>
      <c r="D268" s="10" t="inlineStr">
        <is>
          <t>Scrubber</t>
        </is>
      </c>
      <c r="E268" s="13" t="n">
        <v>20</v>
      </c>
      <c r="F268" s="13" t="n">
        <v>30</v>
      </c>
      <c r="G268" s="13">
        <f>F268-E268</f>
        <v/>
      </c>
      <c r="H268" s="27" t="n">
        <v>36</v>
      </c>
      <c r="I268" s="13">
        <f>E268*H268</f>
        <v/>
      </c>
      <c r="J268" s="13">
        <f>F268*H268</f>
        <v/>
      </c>
      <c r="K268" s="26">
        <f>IF(H268&lt;=0, "Out of Stock", IF(H268&lt;=5, "Low Stock", "In Stock"))</f>
        <v/>
      </c>
      <c r="L268" s="26" t="inlineStr">
        <is>
          <t>2025-07-18 04:12 PM</t>
        </is>
      </c>
    </row>
    <row r="269">
      <c r="A269" s="28" t="inlineStr">
        <is>
          <t>PROD-20250718-210843-NEW</t>
        </is>
      </c>
      <c r="B269" s="15" t="inlineStr">
        <is>
          <t>SCRUBBER 30GRAM</t>
        </is>
      </c>
      <c r="C269" s="15" t="inlineStr">
        <is>
          <t>Cleaning &amp; Household</t>
        </is>
      </c>
      <c r="D269" s="15" t="inlineStr">
        <is>
          <t>Scrubber</t>
        </is>
      </c>
      <c r="E269" s="18" t="n">
        <v>30</v>
      </c>
      <c r="F269" s="18" t="n">
        <v>50</v>
      </c>
      <c r="G269" s="18">
        <f>F269-E269</f>
        <v/>
      </c>
      <c r="H269" s="29" t="n">
        <v>36</v>
      </c>
      <c r="I269" s="18">
        <f>E269*H269</f>
        <v/>
      </c>
      <c r="J269" s="18">
        <f>F269*H269</f>
        <v/>
      </c>
      <c r="K269" s="28">
        <f>IF(H269&lt;=0, "Out of Stock", IF(H269&lt;=5, "Low Stock", "In Stock"))</f>
        <v/>
      </c>
      <c r="L269" s="28" t="inlineStr">
        <is>
          <t>2025-07-18 04:11 PM</t>
        </is>
      </c>
    </row>
    <row r="270">
      <c r="A270" s="26" t="inlineStr">
        <is>
          <t>PROD-20250718-195801-NEW</t>
        </is>
      </c>
      <c r="B270" s="10" t="inlineStr">
        <is>
          <t>AWAMI STEEL WIPER</t>
        </is>
      </c>
      <c r="C270" s="10" t="inlineStr">
        <is>
          <t>Cleaning &amp; Household</t>
        </is>
      </c>
      <c r="D270" s="10" t="inlineStr">
        <is>
          <t>Wiper</t>
        </is>
      </c>
      <c r="E270" s="13" t="n">
        <v>280</v>
      </c>
      <c r="F270" s="13" t="n">
        <v>500</v>
      </c>
      <c r="G270" s="13">
        <f>F270-E270</f>
        <v/>
      </c>
      <c r="H270" s="27" t="n">
        <v>4</v>
      </c>
      <c r="I270" s="13">
        <f>E270*H270</f>
        <v/>
      </c>
      <c r="J270" s="13">
        <f>F270*H270</f>
        <v/>
      </c>
      <c r="K270" s="26">
        <f>IF(H270&lt;=0, "Out of Stock", IF(H270&lt;=5, "Low Stock", "In Stock"))</f>
        <v/>
      </c>
      <c r="L270" s="26" t="inlineStr">
        <is>
          <t>2025-07-18 03:00 PM</t>
        </is>
      </c>
    </row>
    <row r="271">
      <c r="A271" s="28" t="inlineStr">
        <is>
          <t>PROD-20250718-201854-NEW</t>
        </is>
      </c>
      <c r="B271" s="15" t="inlineStr">
        <is>
          <t>BRIGHT0  BATHROOM WIPER</t>
        </is>
      </c>
      <c r="C271" s="15" t="inlineStr">
        <is>
          <t>Cleaning &amp; Household</t>
        </is>
      </c>
      <c r="D271" s="15" t="inlineStr">
        <is>
          <t>Wiper</t>
        </is>
      </c>
      <c r="E271" s="18" t="n">
        <v>110</v>
      </c>
      <c r="F271" s="18" t="n">
        <v>180</v>
      </c>
      <c r="G271" s="18">
        <f>F271-E271</f>
        <v/>
      </c>
      <c r="H271" s="29" t="n">
        <v>6</v>
      </c>
      <c r="I271" s="18">
        <f>E271*H271</f>
        <v/>
      </c>
      <c r="J271" s="18">
        <f>F271*H271</f>
        <v/>
      </c>
      <c r="K271" s="28">
        <f>IF(H271&lt;=0, "Out of Stock", IF(H271&lt;=5, "Low Stock", "In Stock"))</f>
        <v/>
      </c>
      <c r="L271" s="28" t="inlineStr">
        <is>
          <t>2025-07-18 03:21 PM</t>
        </is>
      </c>
    </row>
    <row r="272">
      <c r="A272" s="26" t="inlineStr">
        <is>
          <t>PROD-20250718-200010-NEW</t>
        </is>
      </c>
      <c r="B272" s="10" t="inlineStr">
        <is>
          <t>BRITO MOPS &amp; WIPER</t>
        </is>
      </c>
      <c r="C272" s="10" t="inlineStr">
        <is>
          <t>Cleaning &amp; Household</t>
        </is>
      </c>
      <c r="D272" s="10" t="inlineStr">
        <is>
          <t>Wiper</t>
        </is>
      </c>
      <c r="E272" s="13" t="n">
        <v>380</v>
      </c>
      <c r="F272" s="13" t="n">
        <v>650</v>
      </c>
      <c r="G272" s="13">
        <f>F272-E272</f>
        <v/>
      </c>
      <c r="H272" s="27" t="n">
        <v>4</v>
      </c>
      <c r="I272" s="13">
        <f>E272*H272</f>
        <v/>
      </c>
      <c r="J272" s="13">
        <f>F272*H272</f>
        <v/>
      </c>
      <c r="K272" s="26">
        <f>IF(H272&lt;=0, "Out of Stock", IF(H272&lt;=5, "Low Stock", "In Stock"))</f>
        <v/>
      </c>
      <c r="L272" s="26" t="inlineStr">
        <is>
          <t>2025-07-18 03:01 PM</t>
        </is>
      </c>
    </row>
    <row r="273">
      <c r="A273" s="28" t="inlineStr">
        <is>
          <t>PROD-20250718-202217-NEW</t>
        </is>
      </c>
      <c r="B273" s="15" t="inlineStr">
        <is>
          <t>CLEANUP BABY WIPER</t>
        </is>
      </c>
      <c r="C273" s="15" t="inlineStr">
        <is>
          <t>Cleaning &amp; Household</t>
        </is>
      </c>
      <c r="D273" s="15" t="inlineStr">
        <is>
          <t>Wiper</t>
        </is>
      </c>
      <c r="E273" s="18" t="n">
        <v>175</v>
      </c>
      <c r="F273" s="18" t="n">
        <v>250</v>
      </c>
      <c r="G273" s="18">
        <f>F273-E273</f>
        <v/>
      </c>
      <c r="H273" s="29" t="n">
        <v>6</v>
      </c>
      <c r="I273" s="18">
        <f>E273*H273</f>
        <v/>
      </c>
      <c r="J273" s="18">
        <f>F273*H273</f>
        <v/>
      </c>
      <c r="K273" s="28">
        <f>IF(H273&lt;=0, "Out of Stock", IF(H273&lt;=5, "Low Stock", "In Stock"))</f>
        <v/>
      </c>
      <c r="L273" s="28" t="inlineStr">
        <is>
          <t>2025-07-18 03:22 PM</t>
        </is>
      </c>
    </row>
    <row r="274">
      <c r="A274" s="26" t="inlineStr">
        <is>
          <t>PROD-20250718-201535-NEW</t>
        </is>
      </c>
      <c r="B274" s="10" t="inlineStr">
        <is>
          <t>TWO STAR BATHROOM WIPER</t>
        </is>
      </c>
      <c r="C274" s="10" t="inlineStr">
        <is>
          <t>Cleaning &amp; Household</t>
        </is>
      </c>
      <c r="D274" s="10" t="inlineStr">
        <is>
          <t>Wiper</t>
        </is>
      </c>
      <c r="E274" s="13" t="n">
        <v>130</v>
      </c>
      <c r="F274" s="13" t="n">
        <v>180</v>
      </c>
      <c r="G274" s="13">
        <f>F274-E274</f>
        <v/>
      </c>
      <c r="H274" s="27" t="n">
        <v>2</v>
      </c>
      <c r="I274" s="13">
        <f>E274*H274</f>
        <v/>
      </c>
      <c r="J274" s="13">
        <f>F274*H274</f>
        <v/>
      </c>
      <c r="K274" s="26">
        <f>IF(H274&lt;=0, "Out of Stock", IF(H274&lt;=5, "Low Stock", "In Stock"))</f>
        <v/>
      </c>
      <c r="L274" s="26" t="inlineStr">
        <is>
          <t>2025-07-18 03:16 PM</t>
        </is>
      </c>
    </row>
    <row r="275">
      <c r="A275" s="28" t="inlineStr">
        <is>
          <t>PROD-20250715-CLOTHCLIP</t>
        </is>
      </c>
      <c r="B275" s="15" t="inlineStr">
        <is>
          <t>CLOTH CLIP COLOUR</t>
        </is>
      </c>
      <c r="C275" s="15" t="inlineStr">
        <is>
          <t>Cloth Clip</t>
        </is>
      </c>
      <c r="D275" s="15" t="inlineStr">
        <is>
          <t>Cloth Clip</t>
        </is>
      </c>
      <c r="E275" s="18" t="n">
        <v>60</v>
      </c>
      <c r="F275" s="18" t="n">
        <v>80</v>
      </c>
      <c r="G275" s="18">
        <f>F275-E275</f>
        <v/>
      </c>
      <c r="H275" s="29" t="n">
        <v>12</v>
      </c>
      <c r="I275" s="18">
        <f>E275*H275</f>
        <v/>
      </c>
      <c r="J275" s="18">
        <f>F275*H275</f>
        <v/>
      </c>
      <c r="K275" s="28">
        <f>IF(H275&lt;=0, "Out of Stock", IF(H275&lt;=5, "Low Stock", "In Stock"))</f>
        <v/>
      </c>
      <c r="L275" s="28" t="inlineStr">
        <is>
          <t>2025-07-15 01:19 PM</t>
        </is>
      </c>
    </row>
    <row r="276">
      <c r="A276" s="26" t="inlineStr">
        <is>
          <t>1920282228109</t>
        </is>
      </c>
      <c r="B276" s="10" t="inlineStr">
        <is>
          <t>CLOTH CLIPSS</t>
        </is>
      </c>
      <c r="C276" s="10" t="inlineStr">
        <is>
          <t>Cloth Clips</t>
        </is>
      </c>
      <c r="D276" s="10" t="inlineStr">
        <is>
          <t>Cloth Clips</t>
        </is>
      </c>
      <c r="E276" s="13" t="n">
        <v>180</v>
      </c>
      <c r="F276" s="13" t="n">
        <v>250</v>
      </c>
      <c r="G276" s="13">
        <f>F276-E276</f>
        <v/>
      </c>
      <c r="H276" s="27" t="n">
        <v>3</v>
      </c>
      <c r="I276" s="13">
        <f>E276*H276</f>
        <v/>
      </c>
      <c r="J276" s="13">
        <f>F276*H276</f>
        <v/>
      </c>
      <c r="K276" s="26">
        <f>IF(H276&lt;=0, "Out of Stock", IF(H276&lt;=5, "Low Stock", "In Stock"))</f>
        <v/>
      </c>
      <c r="L276" s="26" t="inlineStr">
        <is>
          <t>2025-07-15 01:14 PM</t>
        </is>
      </c>
    </row>
    <row r="277">
      <c r="A277" s="28" t="inlineStr">
        <is>
          <t>6952000011224</t>
        </is>
      </c>
      <c r="B277" s="15" t="inlineStr">
        <is>
          <t>COOL SUN CLOTH CLIPS</t>
        </is>
      </c>
      <c r="C277" s="15" t="inlineStr">
        <is>
          <t>Cloth Clips</t>
        </is>
      </c>
      <c r="D277" s="15" t="inlineStr">
        <is>
          <t>Cloth Clips</t>
        </is>
      </c>
      <c r="E277" s="18" t="n">
        <v>250</v>
      </c>
      <c r="F277" s="18" t="n">
        <v>300</v>
      </c>
      <c r="G277" s="18">
        <f>F277-E277</f>
        <v/>
      </c>
      <c r="H277" s="29" t="n">
        <v>1</v>
      </c>
      <c r="I277" s="18">
        <f>E277*H277</f>
        <v/>
      </c>
      <c r="J277" s="18">
        <f>F277*H277</f>
        <v/>
      </c>
      <c r="K277" s="28">
        <f>IF(H277&lt;=0, "Out of Stock", IF(H277&lt;=5, "Low Stock", "In Stock"))</f>
        <v/>
      </c>
      <c r="L277" s="28" t="inlineStr">
        <is>
          <t>2025-07-15 01:16 PM</t>
        </is>
      </c>
    </row>
    <row r="278">
      <c r="A278" s="26" t="inlineStr">
        <is>
          <t>2063208193125</t>
        </is>
      </c>
      <c r="B278" s="10" t="inlineStr">
        <is>
          <t>POLAC FRUIT COCKTAIL</t>
        </is>
      </c>
      <c r="C278" s="10" t="inlineStr">
        <is>
          <t>Cocktail</t>
        </is>
      </c>
      <c r="D278" s="10" t="inlineStr">
        <is>
          <t>Cocktail</t>
        </is>
      </c>
      <c r="E278" s="13" t="n">
        <v>258</v>
      </c>
      <c r="F278" s="13" t="n">
        <v>320</v>
      </c>
      <c r="G278" s="13">
        <f>F278-E278</f>
        <v/>
      </c>
      <c r="H278" s="27" t="n">
        <v>17</v>
      </c>
      <c r="I278" s="13">
        <f>E278*H278</f>
        <v/>
      </c>
      <c r="J278" s="13">
        <f>F278*H278</f>
        <v/>
      </c>
      <c r="K278" s="26">
        <f>IF(H278&lt;=0, "Out of Stock", IF(H278&lt;=5, "Low Stock", "In Stock"))</f>
        <v/>
      </c>
      <c r="L278" s="26" t="inlineStr">
        <is>
          <t>2025-07-16 07:02 PM</t>
        </is>
      </c>
    </row>
    <row r="279">
      <c r="A279" s="28" t="inlineStr">
        <is>
          <t>600110611486</t>
        </is>
      </c>
      <c r="B279" s="15" t="inlineStr">
        <is>
          <t>MORTEIN COIL</t>
        </is>
      </c>
      <c r="C279" s="15" t="inlineStr">
        <is>
          <t>Coil</t>
        </is>
      </c>
      <c r="D279" s="15" t="inlineStr">
        <is>
          <t>Coil</t>
        </is>
      </c>
      <c r="E279" s="18" t="n">
        <v>30</v>
      </c>
      <c r="F279" s="18" t="n">
        <v>50</v>
      </c>
      <c r="G279" s="18">
        <f>F279-E279</f>
        <v/>
      </c>
      <c r="H279" s="29" t="n">
        <v>7</v>
      </c>
      <c r="I279" s="18">
        <f>E279*H279</f>
        <v/>
      </c>
      <c r="J279" s="18">
        <f>F279*H279</f>
        <v/>
      </c>
      <c r="K279" s="28">
        <f>IF(H279&lt;=0, "Out of Stock", IF(H279&lt;=5, "Low Stock", "In Stock"))</f>
        <v/>
      </c>
      <c r="L279" s="28" t="inlineStr">
        <is>
          <t>2025-07-17 09:00 AM</t>
        </is>
      </c>
    </row>
    <row r="280">
      <c r="A280" s="26" t="inlineStr">
        <is>
          <t>8964000543207</t>
        </is>
      </c>
      <c r="B280" s="10" t="inlineStr">
        <is>
          <t>TYPON COIL MOSQUITO</t>
        </is>
      </c>
      <c r="C280" s="10" t="inlineStr">
        <is>
          <t>Coil</t>
        </is>
      </c>
      <c r="D280" s="10" t="inlineStr">
        <is>
          <t>Coil</t>
        </is>
      </c>
      <c r="E280" s="13" t="n">
        <v>80</v>
      </c>
      <c r="F280" s="13" t="n">
        <v>170</v>
      </c>
      <c r="G280" s="13">
        <f>F280-E280</f>
        <v/>
      </c>
      <c r="H280" s="27" t="n">
        <v>11</v>
      </c>
      <c r="I280" s="13">
        <f>E280*H280</f>
        <v/>
      </c>
      <c r="J280" s="13">
        <f>F280*H280</f>
        <v/>
      </c>
      <c r="K280" s="26">
        <f>IF(H280&lt;=0, "Out of Stock", IF(H280&lt;=5, "Low Stock", "In Stock"))</f>
        <v/>
      </c>
      <c r="L280" s="26" t="inlineStr">
        <is>
          <t>2025-07-17 08:53 AM</t>
        </is>
      </c>
    </row>
    <row r="281">
      <c r="A281" s="28" t="inlineStr">
        <is>
          <t>745125126463</t>
        </is>
      </c>
      <c r="B281" s="15" t="inlineStr">
        <is>
          <t>ANTI LICE COMB</t>
        </is>
      </c>
      <c r="C281" s="15" t="inlineStr">
        <is>
          <t>Comb</t>
        </is>
      </c>
      <c r="D281" s="15" t="inlineStr">
        <is>
          <t>Comb</t>
        </is>
      </c>
      <c r="E281" s="18" t="n">
        <v>25</v>
      </c>
      <c r="F281" s="18" t="n">
        <v>40</v>
      </c>
      <c r="G281" s="18">
        <f>F281-E281</f>
        <v/>
      </c>
      <c r="H281" s="29" t="n">
        <v>45</v>
      </c>
      <c r="I281" s="18">
        <f>E281*H281</f>
        <v/>
      </c>
      <c r="J281" s="18">
        <f>F281*H281</f>
        <v/>
      </c>
      <c r="K281" s="28">
        <f>IF(H281&lt;=0, "Out of Stock", IF(H281&lt;=5, "Low Stock", "In Stock"))</f>
        <v/>
      </c>
      <c r="L281" s="28" t="inlineStr">
        <is>
          <t>2025-07-15 12:27 PM</t>
        </is>
      </c>
    </row>
    <row r="282">
      <c r="A282" s="26" t="inlineStr">
        <is>
          <t>745125123813</t>
        </is>
      </c>
      <c r="B282" s="10" t="inlineStr">
        <is>
          <t>COMB CHOICE CP</t>
        </is>
      </c>
      <c r="C282" s="10" t="inlineStr">
        <is>
          <t>Comb</t>
        </is>
      </c>
      <c r="D282" s="10" t="inlineStr">
        <is>
          <t>Comb</t>
        </is>
      </c>
      <c r="E282" s="13" t="n">
        <v>36</v>
      </c>
      <c r="F282" s="13" t="n">
        <v>50</v>
      </c>
      <c r="G282" s="13">
        <f>F282-E282</f>
        <v/>
      </c>
      <c r="H282" s="27" t="n">
        <v>28</v>
      </c>
      <c r="I282" s="13">
        <f>E282*H282</f>
        <v/>
      </c>
      <c r="J282" s="13">
        <f>F282*H282</f>
        <v/>
      </c>
      <c r="K282" s="26">
        <f>IF(H282&lt;=0, "Out of Stock", IF(H282&lt;=5, "Low Stock", "In Stock"))</f>
        <v/>
      </c>
      <c r="L282" s="26" t="inlineStr">
        <is>
          <t>2025-07-15 12:30 PM</t>
        </is>
      </c>
    </row>
    <row r="283">
      <c r="A283" s="28" t="inlineStr">
        <is>
          <t>7443244943604</t>
        </is>
      </c>
      <c r="B283" s="15" t="inlineStr">
        <is>
          <t>BUNTIES 40G</t>
        </is>
      </c>
      <c r="C283" s="15" t="inlineStr">
        <is>
          <t>Confectionery &amp; Sweets</t>
        </is>
      </c>
      <c r="D283" s="15" t="inlineStr">
        <is>
          <t>Bunties</t>
        </is>
      </c>
      <c r="E283" s="18" t="n">
        <v>63</v>
      </c>
      <c r="F283" s="18" t="n">
        <v>80</v>
      </c>
      <c r="G283" s="18">
        <f>F283-E283</f>
        <v/>
      </c>
      <c r="H283" s="29" t="n">
        <v>22</v>
      </c>
      <c r="I283" s="18">
        <f>E283*H283</f>
        <v/>
      </c>
      <c r="J283" s="18">
        <f>F283*H283</f>
        <v/>
      </c>
      <c r="K283" s="28">
        <f>IF(H283&lt;=0, "Out of Stock", IF(H283&lt;=5, "Low Stock", "In Stock"))</f>
        <v/>
      </c>
      <c r="L283" s="28" t="inlineStr">
        <is>
          <t>2025-07-17 05:53 PM</t>
        </is>
      </c>
    </row>
    <row r="284">
      <c r="A284" s="26" t="inlineStr">
        <is>
          <t>6156299203722</t>
        </is>
      </c>
      <c r="B284" s="10" t="inlineStr">
        <is>
          <t>CARNIDAL FRUITY CANDY 1 KG</t>
        </is>
      </c>
      <c r="C284" s="10" t="inlineStr">
        <is>
          <t>Confectionery &amp; Sweets</t>
        </is>
      </c>
      <c r="D284" s="10" t="inlineStr">
        <is>
          <t>Candy</t>
        </is>
      </c>
      <c r="E284" s="13" t="n">
        <v>700</v>
      </c>
      <c r="F284" s="13" t="n">
        <v>1000</v>
      </c>
      <c r="G284" s="13">
        <f>F284-E284</f>
        <v/>
      </c>
      <c r="H284" s="27" t="n">
        <v>2</v>
      </c>
      <c r="I284" s="13">
        <f>E284*H284</f>
        <v/>
      </c>
      <c r="J284" s="13">
        <f>F284*H284</f>
        <v/>
      </c>
      <c r="K284" s="26">
        <f>IF(H284&lt;=0, "Out of Stock", IF(H284&lt;=5, "Low Stock", "In Stock"))</f>
        <v/>
      </c>
      <c r="L284" s="26" t="inlineStr">
        <is>
          <t>2025-07-17 04:32 PM</t>
        </is>
      </c>
    </row>
    <row r="285">
      <c r="A285" s="28" t="inlineStr">
        <is>
          <t>6260118100267</t>
        </is>
      </c>
      <c r="B285" s="15" t="inlineStr">
        <is>
          <t>DOKTOR MOSI CANDY</t>
        </is>
      </c>
      <c r="C285" s="15" t="inlineStr">
        <is>
          <t>Confectionery &amp; Sweets</t>
        </is>
      </c>
      <c r="D285" s="15" t="inlineStr">
        <is>
          <t>Candy</t>
        </is>
      </c>
      <c r="E285" s="18" t="n">
        <v>800</v>
      </c>
      <c r="F285" s="18" t="n">
        <v>1000</v>
      </c>
      <c r="G285" s="18">
        <f>F285-E285</f>
        <v/>
      </c>
      <c r="H285" s="29" t="n">
        <v>2</v>
      </c>
      <c r="I285" s="18">
        <f>E285*H285</f>
        <v/>
      </c>
      <c r="J285" s="18">
        <f>F285*H285</f>
        <v/>
      </c>
      <c r="K285" s="28">
        <f>IF(H285&lt;=0, "Out of Stock", IF(H285&lt;=5, "Low Stock", "In Stock"))</f>
        <v/>
      </c>
      <c r="L285" s="28" t="inlineStr">
        <is>
          <t>2025-07-17 04:54 PM</t>
        </is>
      </c>
    </row>
    <row r="286">
      <c r="A286" s="26" t="inlineStr">
        <is>
          <t>6260336007065</t>
        </is>
      </c>
      <c r="B286" s="10" t="inlineStr">
        <is>
          <t>PashMak white Candy</t>
        </is>
      </c>
      <c r="C286" s="10" t="inlineStr">
        <is>
          <t>Confectionery &amp; Sweets</t>
        </is>
      </c>
      <c r="D286" s="10" t="inlineStr">
        <is>
          <t>Candy</t>
        </is>
      </c>
      <c r="E286" s="13" t="n">
        <v>800</v>
      </c>
      <c r="F286" s="13" t="n">
        <v>1300</v>
      </c>
      <c r="G286" s="13">
        <f>F286-E286</f>
        <v/>
      </c>
      <c r="H286" s="27" t="n">
        <v>2</v>
      </c>
      <c r="I286" s="13">
        <f>E286*H286</f>
        <v/>
      </c>
      <c r="J286" s="13">
        <f>F286*H286</f>
        <v/>
      </c>
      <c r="K286" s="26">
        <f>IF(H286&lt;=0, "Out of Stock", IF(H286&lt;=5, "Low Stock", "In Stock"))</f>
        <v/>
      </c>
      <c r="L286" s="26" t="inlineStr">
        <is>
          <t>2025-07-12 05:36 PM</t>
        </is>
      </c>
    </row>
    <row r="287">
      <c r="A287" s="28" t="inlineStr">
        <is>
          <t>PROD-20250717-213024-NEW</t>
        </is>
      </c>
      <c r="B287" s="15" t="inlineStr">
        <is>
          <t>DELUXE CARAMEL TOFFEES</t>
        </is>
      </c>
      <c r="C287" s="15" t="inlineStr">
        <is>
          <t>Confectionery &amp; Sweets</t>
        </is>
      </c>
      <c r="D287" s="15" t="inlineStr">
        <is>
          <t>Toffees</t>
        </is>
      </c>
      <c r="E287" s="18" t="n">
        <v>390</v>
      </c>
      <c r="F287" s="18" t="n">
        <v>500</v>
      </c>
      <c r="G287" s="18">
        <f>F287-E287</f>
        <v/>
      </c>
      <c r="H287" s="29" t="n">
        <v>1</v>
      </c>
      <c r="I287" s="18">
        <f>E287*H287</f>
        <v/>
      </c>
      <c r="J287" s="18">
        <f>F287*H287</f>
        <v/>
      </c>
      <c r="K287" s="28">
        <f>IF(H287&lt;=0, "Out of Stock", IF(H287&lt;=5, "Low Stock", "In Stock"))</f>
        <v/>
      </c>
      <c r="L287" s="28" t="inlineStr">
        <is>
          <t>2025-07-17 04:31 PM</t>
        </is>
      </c>
    </row>
    <row r="288">
      <c r="A288" s="26" t="inlineStr">
        <is>
          <t>8961100502790</t>
        </is>
      </c>
      <c r="B288" s="10" t="inlineStr">
        <is>
          <t>DALDA BANAASPATI 1KG</t>
        </is>
      </c>
      <c r="C288" s="10" t="inlineStr">
        <is>
          <t>Cooking Oil &amp; Ghee</t>
        </is>
      </c>
      <c r="D288" s="10" t="inlineStr">
        <is>
          <t>Banaspati</t>
        </is>
      </c>
      <c r="E288" s="13" t="n">
        <v>533.6900000000001</v>
      </c>
      <c r="F288" s="13" t="n">
        <v>570</v>
      </c>
      <c r="G288" s="13">
        <f>F288-E288</f>
        <v/>
      </c>
      <c r="H288" s="27" t="n">
        <v>22</v>
      </c>
      <c r="I288" s="13">
        <f>E288*H288</f>
        <v/>
      </c>
      <c r="J288" s="13">
        <f>F288*H288</f>
        <v/>
      </c>
      <c r="K288" s="26">
        <f>IF(H288&lt;=0, "Out of Stock", IF(H288&lt;=5, "Low Stock", "In Stock"))</f>
        <v/>
      </c>
      <c r="L288" s="26" t="inlineStr">
        <is>
          <t>2025-07-17 01:36 PM</t>
        </is>
      </c>
    </row>
    <row r="289">
      <c r="A289" s="28" t="inlineStr">
        <is>
          <t>8961100503100</t>
        </is>
      </c>
      <c r="B289" s="15" t="inlineStr">
        <is>
          <t>DALDA BANASPATI 5 LTR</t>
        </is>
      </c>
      <c r="C289" s="15" t="inlineStr">
        <is>
          <t>Cooking Oil &amp; Ghee</t>
        </is>
      </c>
      <c r="D289" s="15" t="inlineStr">
        <is>
          <t>Banaspati</t>
        </is>
      </c>
      <c r="E289" s="18" t="n">
        <v>2690</v>
      </c>
      <c r="F289" s="18" t="n">
        <v>2865</v>
      </c>
      <c r="G289" s="18">
        <f>F289-E289</f>
        <v/>
      </c>
      <c r="H289" s="29" t="n">
        <v>8</v>
      </c>
      <c r="I289" s="18">
        <f>E289*H289</f>
        <v/>
      </c>
      <c r="J289" s="18">
        <f>F289*H289</f>
        <v/>
      </c>
      <c r="K289" s="28">
        <f>IF(H289&lt;=0, "Out of Stock", IF(H289&lt;=5, "Low Stock", "In Stock"))</f>
        <v/>
      </c>
      <c r="L289" s="28" t="inlineStr">
        <is>
          <t>2025-07-29 06:13 PM</t>
        </is>
      </c>
    </row>
    <row r="290">
      <c r="A290" s="26" t="inlineStr">
        <is>
          <t>6784971380074</t>
        </is>
      </c>
      <c r="B290" s="10" t="inlineStr">
        <is>
          <t>ISLAMBAD BANASPATI 1 KG</t>
        </is>
      </c>
      <c r="C290" s="10" t="inlineStr">
        <is>
          <t>Cooking Oil &amp; Ghee</t>
        </is>
      </c>
      <c r="D290" s="10" t="inlineStr">
        <is>
          <t>Banaspati</t>
        </is>
      </c>
      <c r="E290" s="13" t="n">
        <v>454.53</v>
      </c>
      <c r="F290" s="13" t="n">
        <v>500</v>
      </c>
      <c r="G290" s="13">
        <f>F290-E290</f>
        <v/>
      </c>
      <c r="H290" s="27" t="n">
        <v>67</v>
      </c>
      <c r="I290" s="13">
        <f>E290*H290</f>
        <v/>
      </c>
      <c r="J290" s="13">
        <f>F290*H290</f>
        <v/>
      </c>
      <c r="K290" s="26">
        <f>IF(H290&lt;=0, "Out of Stock", IF(H290&lt;=5, "Low Stock", "In Stock"))</f>
        <v/>
      </c>
      <c r="L290" s="26" t="inlineStr">
        <is>
          <t>2025-07-17 01:43 PM</t>
        </is>
      </c>
    </row>
    <row r="291">
      <c r="A291" s="28" t="inlineStr">
        <is>
          <t>6784900380106</t>
        </is>
      </c>
      <c r="B291" s="15" t="inlineStr">
        <is>
          <t>ISLAMBAD BANASPATI 1/4 KG</t>
        </is>
      </c>
      <c r="C291" s="15" t="inlineStr">
        <is>
          <t>Cooking Oil &amp; Ghee</t>
        </is>
      </c>
      <c r="D291" s="15" t="inlineStr">
        <is>
          <t>Banaspati</t>
        </is>
      </c>
      <c r="E291" s="18" t="n">
        <v>108.76</v>
      </c>
      <c r="F291" s="18" t="n">
        <v>150</v>
      </c>
      <c r="G291" s="18">
        <f>F291-E291</f>
        <v/>
      </c>
      <c r="H291" s="29" t="n">
        <v>135</v>
      </c>
      <c r="I291" s="18">
        <f>E291*H291</f>
        <v/>
      </c>
      <c r="J291" s="18">
        <f>F291*H291</f>
        <v/>
      </c>
      <c r="K291" s="28">
        <f>IF(H291&lt;=0, "Out of Stock", IF(H291&lt;=5, "Low Stock", "In Stock"))</f>
        <v/>
      </c>
      <c r="L291" s="28" t="inlineStr">
        <is>
          <t>2025-07-17 01:50 PM</t>
        </is>
      </c>
    </row>
    <row r="292">
      <c r="A292" s="26" t="inlineStr">
        <is>
          <t>8961100502813</t>
        </is>
      </c>
      <c r="B292" s="10" t="inlineStr">
        <is>
          <t>DALDA I LTR OIL</t>
        </is>
      </c>
      <c r="C292" s="10" t="inlineStr">
        <is>
          <t>Cooking Oil &amp; Ghee</t>
        </is>
      </c>
      <c r="D292" s="10" t="inlineStr">
        <is>
          <t>Cooking Oil</t>
        </is>
      </c>
      <c r="E292" s="13" t="n">
        <v>534.4</v>
      </c>
      <c r="F292" s="13" t="n">
        <v>570</v>
      </c>
      <c r="G292" s="13">
        <f>F292-E292</f>
        <v/>
      </c>
      <c r="H292" s="27" t="n">
        <v>17</v>
      </c>
      <c r="I292" s="13">
        <f>E292*H292</f>
        <v/>
      </c>
      <c r="J292" s="13">
        <f>F292*H292</f>
        <v/>
      </c>
      <c r="K292" s="26">
        <f>IF(H292&lt;=0, "Out of Stock", IF(H292&lt;=5, "Low Stock", "In Stock"))</f>
        <v/>
      </c>
      <c r="L292" s="26" t="inlineStr">
        <is>
          <t>2025-07-17 01:39 PM</t>
        </is>
      </c>
    </row>
    <row r="293">
      <c r="A293" s="28" t="inlineStr">
        <is>
          <t>8964001200604</t>
        </is>
      </c>
      <c r="B293" s="15" t="inlineStr">
        <is>
          <t>MOMIN SUNFLOWER 4.5 LTR</t>
        </is>
      </c>
      <c r="C293" s="15" t="inlineStr">
        <is>
          <t>Cooking Oil &amp; Ghee</t>
        </is>
      </c>
      <c r="D293" s="15" t="inlineStr">
        <is>
          <t>Cooking Oil</t>
        </is>
      </c>
      <c r="E293" s="18" t="n">
        <v>2700</v>
      </c>
      <c r="F293" s="18" t="n">
        <v>2900</v>
      </c>
      <c r="G293" s="18">
        <f>F293-E293</f>
        <v/>
      </c>
      <c r="H293" s="29" t="n">
        <v>6</v>
      </c>
      <c r="I293" s="18">
        <f>E293*H293</f>
        <v/>
      </c>
      <c r="J293" s="18">
        <f>F293*H293</f>
        <v/>
      </c>
      <c r="K293" s="28">
        <f>IF(H293&lt;=0, "Out of Stock", IF(H293&lt;=5, "Low Stock", "In Stock"))</f>
        <v/>
      </c>
      <c r="L293" s="28" t="inlineStr">
        <is>
          <t>2025-07-16 06:44 PM</t>
        </is>
      </c>
    </row>
    <row r="294">
      <c r="A294" s="26" t="inlineStr">
        <is>
          <t>8964001200765</t>
        </is>
      </c>
      <c r="B294" s="10" t="inlineStr">
        <is>
          <t>MOMIN SUNFLOWER OIL 3 LTR</t>
        </is>
      </c>
      <c r="C294" s="10" t="inlineStr">
        <is>
          <t>Cooking Oil &amp; Ghee</t>
        </is>
      </c>
      <c r="D294" s="10" t="inlineStr">
        <is>
          <t>Cooking Oil</t>
        </is>
      </c>
      <c r="E294" s="13" t="n">
        <v>1450</v>
      </c>
      <c r="F294" s="13" t="n">
        <v>1850</v>
      </c>
      <c r="G294" s="13">
        <f>F294-E294</f>
        <v/>
      </c>
      <c r="H294" s="27" t="n">
        <v>14</v>
      </c>
      <c r="I294" s="13">
        <f>E294*H294</f>
        <v/>
      </c>
      <c r="J294" s="13">
        <f>F294*H294</f>
        <v/>
      </c>
      <c r="K294" s="26">
        <f>IF(H294&lt;=0, "Out of Stock", IF(H294&lt;=5, "Low Stock", "In Stock"))</f>
        <v/>
      </c>
      <c r="L294" s="26" t="inlineStr">
        <is>
          <t>2025-07-16 06:45 PM</t>
        </is>
      </c>
    </row>
    <row r="295">
      <c r="A295" s="28" t="inlineStr">
        <is>
          <t>8964001200239</t>
        </is>
      </c>
      <c r="B295" s="15" t="inlineStr">
        <is>
          <t>MOMIN SUNFLOWER OIL 5 LTR</t>
        </is>
      </c>
      <c r="C295" s="15" t="inlineStr">
        <is>
          <t>Cooking Oil &amp; Ghee</t>
        </is>
      </c>
      <c r="D295" s="15" t="inlineStr">
        <is>
          <t>Cooking Oil</t>
        </is>
      </c>
      <c r="E295" s="18" t="n">
        <v>2900</v>
      </c>
      <c r="F295" s="18" t="n">
        <v>3000</v>
      </c>
      <c r="G295" s="18">
        <f>F295-E295</f>
        <v/>
      </c>
      <c r="H295" s="29" t="n">
        <v>6</v>
      </c>
      <c r="I295" s="18">
        <f>E295*H295</f>
        <v/>
      </c>
      <c r="J295" s="18">
        <f>F295*H295</f>
        <v/>
      </c>
      <c r="K295" s="28">
        <f>IF(H295&lt;=0, "Out of Stock", IF(H295&lt;=5, "Low Stock", "In Stock"))</f>
        <v/>
      </c>
      <c r="L295" s="28" t="inlineStr">
        <is>
          <t>2025-07-16 06:42 PM</t>
        </is>
      </c>
    </row>
    <row r="296">
      <c r="A296" s="26" t="inlineStr">
        <is>
          <t>8964001201892</t>
        </is>
      </c>
      <c r="B296" s="10" t="inlineStr">
        <is>
          <t>NOURISH PURE CORN OIL</t>
        </is>
      </c>
      <c r="C296" s="10" t="inlineStr">
        <is>
          <t>Cooking Oil &amp; Ghee</t>
        </is>
      </c>
      <c r="D296" s="10" t="inlineStr">
        <is>
          <t>Cooking Oil</t>
        </is>
      </c>
      <c r="E296" s="13" t="n">
        <v>1767</v>
      </c>
      <c r="F296" s="13" t="n">
        <v>2500</v>
      </c>
      <c r="G296" s="13">
        <f>F296-E296</f>
        <v/>
      </c>
      <c r="H296" s="27" t="n">
        <v>9</v>
      </c>
      <c r="I296" s="13">
        <f>E296*H296</f>
        <v/>
      </c>
      <c r="J296" s="13">
        <f>F296*H296</f>
        <v/>
      </c>
      <c r="K296" s="26">
        <f>IF(H296&lt;=0, "Out of Stock", IF(H296&lt;=5, "Low Stock", "In Stock"))</f>
        <v/>
      </c>
      <c r="L296" s="26" t="inlineStr">
        <is>
          <t>2025-07-16 06:47 PM</t>
        </is>
      </c>
    </row>
    <row r="297">
      <c r="A297" s="28" t="inlineStr">
        <is>
          <t>8964001200550</t>
        </is>
      </c>
      <c r="B297" s="15" t="inlineStr">
        <is>
          <t>WATAN COOKING OIL 3 LTR</t>
        </is>
      </c>
      <c r="C297" s="15" t="inlineStr">
        <is>
          <t>Cooking Oil &amp; Ghee</t>
        </is>
      </c>
      <c r="D297" s="15" t="inlineStr">
        <is>
          <t>Cooking Oil</t>
        </is>
      </c>
      <c r="E297" s="18" t="n">
        <v>1400</v>
      </c>
      <c r="F297" s="18" t="n">
        <v>1800</v>
      </c>
      <c r="G297" s="18">
        <f>F297-E297</f>
        <v/>
      </c>
      <c r="H297" s="29" t="n">
        <v>2</v>
      </c>
      <c r="I297" s="18">
        <f>E297*H297</f>
        <v/>
      </c>
      <c r="J297" s="18">
        <f>F297*H297</f>
        <v/>
      </c>
      <c r="K297" s="28">
        <f>IF(H297&lt;=0, "Out of Stock", IF(H297&lt;=5, "Low Stock", "In Stock"))</f>
        <v/>
      </c>
      <c r="L297" s="28" t="inlineStr">
        <is>
          <t>2025-07-16 06:46 PM</t>
        </is>
      </c>
    </row>
    <row r="298">
      <c r="A298" s="26" t="inlineStr">
        <is>
          <t>PROD-20250715-17CRISHMA</t>
        </is>
      </c>
      <c r="B298" s="10" t="inlineStr">
        <is>
          <t>CRISHMA SARSON OIL</t>
        </is>
      </c>
      <c r="C298" s="10" t="inlineStr">
        <is>
          <t>Cooking Oil &amp; Ghee</t>
        </is>
      </c>
      <c r="D298" s="10" t="inlineStr">
        <is>
          <t>Oil</t>
        </is>
      </c>
      <c r="E298" s="13" t="n">
        <v>120</v>
      </c>
      <c r="F298" s="13" t="n">
        <v>150</v>
      </c>
      <c r="G298" s="13">
        <f>F298-E298</f>
        <v/>
      </c>
      <c r="H298" s="27" t="n">
        <v>1</v>
      </c>
      <c r="I298" s="13">
        <f>E298*H298</f>
        <v/>
      </c>
      <c r="J298" s="13">
        <f>F298*H298</f>
        <v/>
      </c>
      <c r="K298" s="26">
        <f>IF(H298&lt;=0, "Out of Stock", IF(H298&lt;=5, "Low Stock", "In Stock"))</f>
        <v/>
      </c>
      <c r="L298" s="26" t="inlineStr">
        <is>
          <t>2025-07-15 12:22 PM</t>
        </is>
      </c>
    </row>
    <row r="299">
      <c r="A299" s="28" t="inlineStr">
        <is>
          <t>PROD-20250715-1722OIL</t>
        </is>
      </c>
      <c r="B299" s="15" t="inlineStr">
        <is>
          <t>CRISHMA SARSON OIL SP</t>
        </is>
      </c>
      <c r="C299" s="15" t="inlineStr">
        <is>
          <t>Cooking Oil &amp; Ghee</t>
        </is>
      </c>
      <c r="D299" s="15" t="inlineStr">
        <is>
          <t>Oil</t>
        </is>
      </c>
      <c r="E299" s="18" t="n">
        <v>140</v>
      </c>
      <c r="F299" s="18" t="n">
        <v>180</v>
      </c>
      <c r="G299" s="18">
        <f>F299-E299</f>
        <v/>
      </c>
      <c r="H299" s="29" t="n">
        <v>0</v>
      </c>
      <c r="I299" s="18">
        <f>E299*H299</f>
        <v/>
      </c>
      <c r="J299" s="18">
        <f>F299*H299</f>
        <v/>
      </c>
      <c r="K299" s="28">
        <f>IF(H299&lt;=0, "Out of Stock", IF(H299&lt;=5, "Low Stock", "In Stock"))</f>
        <v/>
      </c>
      <c r="L299" s="28" t="inlineStr">
        <is>
          <t>2025-07-15 12:23 PM</t>
        </is>
      </c>
    </row>
    <row r="300">
      <c r="A300" s="26" t="inlineStr">
        <is>
          <t>8961100503131</t>
        </is>
      </c>
      <c r="B300" s="10" t="inlineStr">
        <is>
          <t>DALDA COOKING OIL 3 LTR</t>
        </is>
      </c>
      <c r="C300" s="10" t="inlineStr">
        <is>
          <t>Cooking Oil &amp; Ghee</t>
        </is>
      </c>
      <c r="D300" s="10" t="inlineStr">
        <is>
          <t>Oil</t>
        </is>
      </c>
      <c r="E300" s="13" t="n">
        <v>1680</v>
      </c>
      <c r="F300" s="13" t="n">
        <v>1775</v>
      </c>
      <c r="G300" s="13">
        <f>F300-E300</f>
        <v/>
      </c>
      <c r="H300" s="27" t="n">
        <v>4</v>
      </c>
      <c r="I300" s="13">
        <f>E300*H300</f>
        <v/>
      </c>
      <c r="J300" s="13">
        <f>F300*H300</f>
        <v/>
      </c>
      <c r="K300" s="26">
        <f>IF(H300&lt;=0, "Out of Stock", IF(H300&lt;=5, "Low Stock", "In Stock"))</f>
        <v/>
      </c>
      <c r="L300" s="26" t="inlineStr">
        <is>
          <t>2025-07-29 05:57 PM</t>
        </is>
      </c>
    </row>
    <row r="301">
      <c r="A301" s="28" t="inlineStr">
        <is>
          <t>PROD-20250715-SARSOO</t>
        </is>
      </c>
      <c r="B301" s="15" t="inlineStr">
        <is>
          <t>GOLDEN OIL SARSON SM</t>
        </is>
      </c>
      <c r="C301" s="15" t="inlineStr">
        <is>
          <t>Cooking Oil &amp; Ghee</t>
        </is>
      </c>
      <c r="D301" s="15" t="inlineStr">
        <is>
          <t>Oil</t>
        </is>
      </c>
      <c r="E301" s="18" t="n">
        <v>45</v>
      </c>
      <c r="F301" s="18" t="n">
        <v>70</v>
      </c>
      <c r="G301" s="18">
        <f>F301-E301</f>
        <v/>
      </c>
      <c r="H301" s="29" t="n">
        <v>27</v>
      </c>
      <c r="I301" s="18">
        <f>E301*H301</f>
        <v/>
      </c>
      <c r="J301" s="18">
        <f>F301*H301</f>
        <v/>
      </c>
      <c r="K301" s="28">
        <f>IF(H301&lt;=0, "Out of Stock", IF(H301&lt;=5, "Low Stock", "In Stock"))</f>
        <v/>
      </c>
      <c r="L301" s="28" t="inlineStr">
        <is>
          <t>2025-07-15 12:18 PM</t>
        </is>
      </c>
    </row>
    <row r="302">
      <c r="A302" s="26" t="inlineStr">
        <is>
          <t>PROD-20250715-171OIL</t>
        </is>
      </c>
      <c r="B302" s="10" t="inlineStr">
        <is>
          <t>GOLDEN OIL SARSON SP</t>
        </is>
      </c>
      <c r="C302" s="10" t="inlineStr">
        <is>
          <t>Cooking Oil &amp; Ghee</t>
        </is>
      </c>
      <c r="D302" s="10" t="inlineStr">
        <is>
          <t>Oil</t>
        </is>
      </c>
      <c r="E302" s="13" t="n">
        <v>75</v>
      </c>
      <c r="F302" s="13" t="n">
        <v>150</v>
      </c>
      <c r="G302" s="13">
        <f>F302-E302</f>
        <v/>
      </c>
      <c r="H302" s="27" t="n">
        <v>29</v>
      </c>
      <c r="I302" s="13">
        <f>E302*H302</f>
        <v/>
      </c>
      <c r="J302" s="13">
        <f>F302*H302</f>
        <v/>
      </c>
      <c r="K302" s="26">
        <f>IF(H302&lt;=0, "Out of Stock", IF(H302&lt;=5, "Low Stock", "In Stock"))</f>
        <v/>
      </c>
      <c r="L302" s="26" t="inlineStr">
        <is>
          <t>2025-07-15 12:20 PM</t>
        </is>
      </c>
    </row>
    <row r="303">
      <c r="A303" s="28" t="inlineStr">
        <is>
          <t>5784971383892</t>
        </is>
      </c>
      <c r="B303" s="15" t="inlineStr">
        <is>
          <t>ISLAMBAD OIL 1 LTR</t>
        </is>
      </c>
      <c r="C303" s="15" t="inlineStr">
        <is>
          <t>Cooking Oil &amp; Ghee</t>
        </is>
      </c>
      <c r="D303" s="15" t="inlineStr">
        <is>
          <t>Oil</t>
        </is>
      </c>
      <c r="E303" s="18" t="n">
        <v>429</v>
      </c>
      <c r="F303" s="18" t="n">
        <v>500</v>
      </c>
      <c r="G303" s="18">
        <f>F303-E303</f>
        <v/>
      </c>
      <c r="H303" s="29" t="n">
        <v>1</v>
      </c>
      <c r="I303" s="18">
        <f>E303*H303</f>
        <v/>
      </c>
      <c r="J303" s="18">
        <f>F303*H303</f>
        <v/>
      </c>
      <c r="K303" s="28">
        <f>IF(H303&lt;=0, "Out of Stock", IF(H303&lt;=5, "Low Stock", "In Stock"))</f>
        <v/>
      </c>
      <c r="L303" s="28" t="inlineStr">
        <is>
          <t>2025-07-17 01:44 PM</t>
        </is>
      </c>
    </row>
    <row r="304">
      <c r="A304" s="26" t="inlineStr">
        <is>
          <t>8964001202554</t>
        </is>
      </c>
      <c r="B304" s="10" t="inlineStr">
        <is>
          <t>MOMIN SUPREME 10 LTR</t>
        </is>
      </c>
      <c r="C304" s="10" t="inlineStr">
        <is>
          <t>Cooking Oil &amp; Ghee</t>
        </is>
      </c>
      <c r="D304" s="10" t="inlineStr">
        <is>
          <t>Oil</t>
        </is>
      </c>
      <c r="E304" s="13" t="n">
        <v>5000</v>
      </c>
      <c r="F304" s="13" t="n">
        <v>6000</v>
      </c>
      <c r="G304" s="13">
        <f>F304-E304</f>
        <v/>
      </c>
      <c r="H304" s="27" t="n">
        <v>2</v>
      </c>
      <c r="I304" s="13">
        <f>E304*H304</f>
        <v/>
      </c>
      <c r="J304" s="13">
        <f>F304*H304</f>
        <v/>
      </c>
      <c r="K304" s="26">
        <f>IF(H304&lt;=0, "Out of Stock", IF(H304&lt;=5, "Low Stock", "In Stock"))</f>
        <v/>
      </c>
      <c r="L304" s="26" t="inlineStr">
        <is>
          <t>2025-07-24 07:51 PM</t>
        </is>
      </c>
    </row>
    <row r="305">
      <c r="A305" s="28" t="inlineStr">
        <is>
          <t>8964001201441</t>
        </is>
      </c>
      <c r="B305" s="15" t="inlineStr">
        <is>
          <t>MOMIN SUPREME 5 LTR</t>
        </is>
      </c>
      <c r="C305" s="15" t="inlineStr">
        <is>
          <t>Cooking Oil &amp; Ghee</t>
        </is>
      </c>
      <c r="D305" s="15" t="inlineStr">
        <is>
          <t>Oil</t>
        </is>
      </c>
      <c r="E305" s="18" t="n">
        <v>2450</v>
      </c>
      <c r="F305" s="18" t="n">
        <v>3000</v>
      </c>
      <c r="G305" s="18">
        <f>F305-E305</f>
        <v/>
      </c>
      <c r="H305" s="29" t="n">
        <v>6</v>
      </c>
      <c r="I305" s="18">
        <f>E305*H305</f>
        <v/>
      </c>
      <c r="J305" s="18">
        <f>F305*H305</f>
        <v/>
      </c>
      <c r="K305" s="28">
        <f>IF(H305&lt;=0, "Out of Stock", IF(H305&lt;=5, "Low Stock", "In Stock"))</f>
        <v/>
      </c>
      <c r="L305" s="28" t="inlineStr">
        <is>
          <t>2025-07-24 07:47 PM</t>
        </is>
      </c>
    </row>
    <row r="306">
      <c r="A306" s="26" t="inlineStr">
        <is>
          <t>8964001201335</t>
        </is>
      </c>
      <c r="B306" s="10" t="inlineStr">
        <is>
          <t>NOURISH PURE CORN OIL 5 LTR</t>
        </is>
      </c>
      <c r="C306" s="10" t="inlineStr">
        <is>
          <t>Cooking Oil &amp; Ghee</t>
        </is>
      </c>
      <c r="D306" s="10" t="inlineStr">
        <is>
          <t>Oil</t>
        </is>
      </c>
      <c r="E306" s="13" t="n">
        <v>2950</v>
      </c>
      <c r="F306" s="13" t="n">
        <v>3500</v>
      </c>
      <c r="G306" s="13">
        <f>F306-E306</f>
        <v/>
      </c>
      <c r="H306" s="27" t="n">
        <v>14</v>
      </c>
      <c r="I306" s="13">
        <f>E306*H306</f>
        <v/>
      </c>
      <c r="J306" s="13">
        <f>F306*H306</f>
        <v/>
      </c>
      <c r="K306" s="26">
        <f>IF(H306&lt;=0, "Out of Stock", IF(H306&lt;=5, "Low Stock", "In Stock"))</f>
        <v/>
      </c>
      <c r="L306" s="26" t="inlineStr">
        <is>
          <t>2025-07-24 07:54 PM</t>
        </is>
      </c>
    </row>
    <row r="307">
      <c r="A307" s="28" t="inlineStr">
        <is>
          <t>PROD-20250712-224905-olive oil</t>
        </is>
      </c>
      <c r="B307" s="15" t="inlineStr">
        <is>
          <t>Royal Olive Oil 250cc</t>
        </is>
      </c>
      <c r="C307" s="15" t="inlineStr">
        <is>
          <t>Cooking Oil &amp; Ghee</t>
        </is>
      </c>
      <c r="D307" s="15" t="inlineStr">
        <is>
          <t>Oil</t>
        </is>
      </c>
      <c r="E307" s="18" t="n">
        <v>600</v>
      </c>
      <c r="F307" s="18" t="n">
        <v>800</v>
      </c>
      <c r="G307" s="18">
        <f>F307-E307</f>
        <v/>
      </c>
      <c r="H307" s="29" t="n">
        <v>5</v>
      </c>
      <c r="I307" s="18">
        <f>E307*H307</f>
        <v/>
      </c>
      <c r="J307" s="18">
        <f>F307*H307</f>
        <v/>
      </c>
      <c r="K307" s="28">
        <f>IF(H307&lt;=0, "Out of Stock", IF(H307&lt;=5, "Low Stock", "In Stock"))</f>
        <v/>
      </c>
      <c r="L307" s="28" t="inlineStr">
        <is>
          <t>2025-07-12 05:50 PM</t>
        </is>
      </c>
    </row>
    <row r="308">
      <c r="A308" s="26" t="inlineStr">
        <is>
          <t>6260164700640</t>
        </is>
      </c>
      <c r="B308" s="10" t="inlineStr">
        <is>
          <t>Royal Olive oil 1 Ltr</t>
        </is>
      </c>
      <c r="C308" s="10" t="inlineStr">
        <is>
          <t>Cooking Oil &amp; Ghee</t>
        </is>
      </c>
      <c r="D308" s="10" t="inlineStr">
        <is>
          <t>Oil</t>
        </is>
      </c>
      <c r="E308" s="13" t="n">
        <v>1800</v>
      </c>
      <c r="F308" s="13" t="n">
        <v>2100</v>
      </c>
      <c r="G308" s="13">
        <f>F308-E308</f>
        <v/>
      </c>
      <c r="H308" s="27" t="n">
        <v>1</v>
      </c>
      <c r="I308" s="13">
        <f>E308*H308</f>
        <v/>
      </c>
      <c r="J308" s="13">
        <f>F308*H308</f>
        <v/>
      </c>
      <c r="K308" s="26">
        <f>IF(H308&lt;=0, "Out of Stock", IF(H308&lt;=5, "Low Stock", "In Stock"))</f>
        <v/>
      </c>
      <c r="L308" s="26" t="inlineStr">
        <is>
          <t>2025-07-12 05:38 PM</t>
        </is>
      </c>
    </row>
    <row r="309">
      <c r="A309" s="28" t="inlineStr">
        <is>
          <t>8964001200383</t>
        </is>
      </c>
      <c r="B309" s="15" t="inlineStr">
        <is>
          <t>WATAN COOKING OIL 1 LTR</t>
        </is>
      </c>
      <c r="C309" s="15" t="inlineStr">
        <is>
          <t>Cooking Oil &amp; Ghee</t>
        </is>
      </c>
      <c r="D309" s="15" t="inlineStr">
        <is>
          <t>Oil</t>
        </is>
      </c>
      <c r="E309" s="18" t="n">
        <v>488</v>
      </c>
      <c r="F309" s="18" t="n">
        <v>600</v>
      </c>
      <c r="G309" s="18">
        <f>F309-E309</f>
        <v/>
      </c>
      <c r="H309" s="29" t="n">
        <v>0</v>
      </c>
      <c r="I309" s="18">
        <f>E309*H309</f>
        <v/>
      </c>
      <c r="J309" s="18">
        <f>F309*H309</f>
        <v/>
      </c>
      <c r="K309" s="28">
        <f>IF(H309&lt;=0, "Out of Stock", IF(H309&lt;=5, "Low Stock", "In Stock"))</f>
        <v/>
      </c>
      <c r="L309" s="28" t="inlineStr">
        <is>
          <t>2025-07-17 01:47 PM</t>
        </is>
      </c>
    </row>
    <row r="310">
      <c r="A310" s="26" t="inlineStr">
        <is>
          <t>6297000805344</t>
        </is>
      </c>
      <c r="B310" s="10" t="inlineStr">
        <is>
          <t>BERTINI OLIVE OIL 250ML</t>
        </is>
      </c>
      <c r="C310" s="10" t="inlineStr">
        <is>
          <t>Cooking Oil &amp; Ghee</t>
        </is>
      </c>
      <c r="D310" s="10" t="inlineStr">
        <is>
          <t>Olive Oil</t>
        </is>
      </c>
      <c r="E310" s="13" t="n">
        <v>600</v>
      </c>
      <c r="F310" s="13" t="n">
        <v>850</v>
      </c>
      <c r="G310" s="13">
        <f>F310-E310</f>
        <v/>
      </c>
      <c r="H310" s="27" t="n">
        <v>5</v>
      </c>
      <c r="I310" s="13">
        <f>E310*H310</f>
        <v/>
      </c>
      <c r="J310" s="13">
        <f>F310*H310</f>
        <v/>
      </c>
      <c r="K310" s="26">
        <f>IF(H310&lt;=0, "Out of Stock", IF(H310&lt;=5, "Low Stock", "In Stock"))</f>
        <v/>
      </c>
      <c r="L310" s="26" t="inlineStr">
        <is>
          <t>2025-07-16 06:59 PM</t>
        </is>
      </c>
    </row>
    <row r="311">
      <c r="A311" s="28" t="inlineStr">
        <is>
          <t>6954567753227</t>
        </is>
      </c>
      <c r="B311" s="15" t="inlineStr">
        <is>
          <t>SWEET CORN CANNED</t>
        </is>
      </c>
      <c r="C311" s="15" t="inlineStr">
        <is>
          <t>Corn</t>
        </is>
      </c>
      <c r="D311" s="15" t="inlineStr">
        <is>
          <t>Corn</t>
        </is>
      </c>
      <c r="E311" s="18" t="n">
        <v>262</v>
      </c>
      <c r="F311" s="18" t="n">
        <v>320</v>
      </c>
      <c r="G311" s="18">
        <f>F311-E311</f>
        <v/>
      </c>
      <c r="H311" s="29" t="n">
        <v>23</v>
      </c>
      <c r="I311" s="18">
        <f>E311*H311</f>
        <v/>
      </c>
      <c r="J311" s="18">
        <f>F311*H311</f>
        <v/>
      </c>
      <c r="K311" s="28">
        <f>IF(H311&lt;=0, "Out of Stock", IF(H311&lt;=5, "Low Stock", "In Stock"))</f>
        <v/>
      </c>
      <c r="L311" s="28" t="inlineStr">
        <is>
          <t>2025-07-17 07:48 AM</t>
        </is>
      </c>
    </row>
    <row r="312">
      <c r="A312" s="26" t="inlineStr">
        <is>
          <t>7451787506392</t>
        </is>
      </c>
      <c r="B312" s="10" t="inlineStr">
        <is>
          <t>Arena Gold Beauty Cream</t>
        </is>
      </c>
      <c r="C312" s="10" t="inlineStr">
        <is>
          <t>Cosmetics &amp; Beauty</t>
        </is>
      </c>
      <c r="D312" s="10" t="inlineStr">
        <is>
          <t>Cosmetic</t>
        </is>
      </c>
      <c r="E312" s="13" t="n">
        <v>243</v>
      </c>
      <c r="F312" s="13" t="n">
        <v>350</v>
      </c>
      <c r="G312" s="13">
        <f>F312-E312</f>
        <v/>
      </c>
      <c r="H312" s="27" t="n">
        <v>13</v>
      </c>
      <c r="I312" s="13">
        <f>E312*H312</f>
        <v/>
      </c>
      <c r="J312" s="13">
        <f>F312*H312</f>
        <v/>
      </c>
      <c r="K312" s="26">
        <f>IF(H312&lt;=0, "Out of Stock", IF(H312&lt;=5, "Low Stock", "In Stock"))</f>
        <v/>
      </c>
      <c r="L312" s="26" t="inlineStr">
        <is>
          <t>2025-07-12 06:21 PM</t>
        </is>
      </c>
    </row>
    <row r="313">
      <c r="A313" s="28" t="inlineStr">
        <is>
          <t>5842109854123</t>
        </is>
      </c>
      <c r="B313" s="15" t="inlineStr">
        <is>
          <t>Faiza Beauty Cream</t>
        </is>
      </c>
      <c r="C313" s="15" t="inlineStr">
        <is>
          <t>Cosmetics &amp; Beauty</t>
        </is>
      </c>
      <c r="D313" s="15" t="inlineStr">
        <is>
          <t>Cosmetic</t>
        </is>
      </c>
      <c r="E313" s="18" t="n">
        <v>245</v>
      </c>
      <c r="F313" s="18" t="n">
        <v>375</v>
      </c>
      <c r="G313" s="18">
        <f>F313-E313</f>
        <v/>
      </c>
      <c r="H313" s="29" t="n">
        <v>2</v>
      </c>
      <c r="I313" s="18">
        <f>E313*H313</f>
        <v/>
      </c>
      <c r="J313" s="18">
        <f>F313*H313</f>
        <v/>
      </c>
      <c r="K313" s="28">
        <f>IF(H313&lt;=0, "Out of Stock", IF(H313&lt;=5, "Low Stock", "In Stock"))</f>
        <v/>
      </c>
      <c r="L313" s="28" t="inlineStr">
        <is>
          <t>2025-07-12 06:13 PM</t>
        </is>
      </c>
    </row>
    <row r="314">
      <c r="A314" s="26" t="inlineStr">
        <is>
          <t>8964001078586</t>
        </is>
      </c>
      <c r="B314" s="10" t="inlineStr">
        <is>
          <t>Golden Pearl Beauty Cream</t>
        </is>
      </c>
      <c r="C314" s="10" t="inlineStr">
        <is>
          <t>Cosmetics &amp; Beauty</t>
        </is>
      </c>
      <c r="D314" s="10" t="inlineStr">
        <is>
          <t>Cosmetic</t>
        </is>
      </c>
      <c r="E314" s="13" t="n">
        <v>250</v>
      </c>
      <c r="F314" s="13" t="n">
        <v>360</v>
      </c>
      <c r="G314" s="13">
        <f>F314-E314</f>
        <v/>
      </c>
      <c r="H314" s="27" t="n">
        <v>17</v>
      </c>
      <c r="I314" s="13">
        <f>E314*H314</f>
        <v/>
      </c>
      <c r="J314" s="13">
        <f>F314*H314</f>
        <v/>
      </c>
      <c r="K314" s="26">
        <f>IF(H314&lt;=0, "Out of Stock", IF(H314&lt;=5, "Low Stock", "In Stock"))</f>
        <v/>
      </c>
      <c r="L314" s="26" t="inlineStr">
        <is>
          <t>2025-07-12 06:11 PM</t>
        </is>
      </c>
    </row>
    <row r="315">
      <c r="A315" s="28" t="inlineStr">
        <is>
          <t>8964003017934</t>
        </is>
      </c>
      <c r="B315" s="15" t="inlineStr">
        <is>
          <t>Golden Pearl Sun Block</t>
        </is>
      </c>
      <c r="C315" s="15" t="inlineStr">
        <is>
          <t>Cosmetics &amp; Beauty</t>
        </is>
      </c>
      <c r="D315" s="15" t="inlineStr">
        <is>
          <t>Cosmetic</t>
        </is>
      </c>
      <c r="E315" s="18" t="n">
        <v>225</v>
      </c>
      <c r="F315" s="18" t="n">
        <v>270</v>
      </c>
      <c r="G315" s="18">
        <f>F315-E315</f>
        <v/>
      </c>
      <c r="H315" s="29" t="n">
        <v>12</v>
      </c>
      <c r="I315" s="18">
        <f>E315*H315</f>
        <v/>
      </c>
      <c r="J315" s="18">
        <f>F315*H315</f>
        <v/>
      </c>
      <c r="K315" s="28">
        <f>IF(H315&lt;=0, "Out of Stock", IF(H315&lt;=5, "Low Stock", "In Stock"))</f>
        <v/>
      </c>
      <c r="L315" s="28" t="inlineStr">
        <is>
          <t>2025-07-12 06:15 PM</t>
        </is>
      </c>
    </row>
    <row r="316">
      <c r="A316" s="26" t="inlineStr">
        <is>
          <t>8964001078784</t>
        </is>
      </c>
      <c r="B316" s="10" t="inlineStr">
        <is>
          <t>Golden Pearl Urgent facial</t>
        </is>
      </c>
      <c r="C316" s="10" t="inlineStr">
        <is>
          <t>Cosmetics &amp; Beauty</t>
        </is>
      </c>
      <c r="D316" s="10" t="inlineStr">
        <is>
          <t>Cosmetic</t>
        </is>
      </c>
      <c r="E316" s="13" t="n">
        <v>45</v>
      </c>
      <c r="F316" s="13" t="n">
        <v>60</v>
      </c>
      <c r="G316" s="13">
        <f>F316-E316</f>
        <v/>
      </c>
      <c r="H316" s="27" t="n">
        <v>24</v>
      </c>
      <c r="I316" s="13">
        <f>E316*H316</f>
        <v/>
      </c>
      <c r="J316" s="13">
        <f>F316*H316</f>
        <v/>
      </c>
      <c r="K316" s="26">
        <f>IF(H316&lt;=0, "Out of Stock", IF(H316&lt;=5, "Low Stock", "In Stock"))</f>
        <v/>
      </c>
      <c r="L316" s="26" t="inlineStr">
        <is>
          <t>2025-07-12 04:21 PM</t>
        </is>
      </c>
    </row>
    <row r="317">
      <c r="A317" s="28" t="inlineStr">
        <is>
          <t>8964001753131</t>
        </is>
      </c>
      <c r="B317" s="15" t="inlineStr">
        <is>
          <t>Golden Pearl Urgent facial Fruity</t>
        </is>
      </c>
      <c r="C317" s="15" t="inlineStr">
        <is>
          <t>Cosmetics &amp; Beauty</t>
        </is>
      </c>
      <c r="D317" s="15" t="inlineStr">
        <is>
          <t>Cosmetic</t>
        </is>
      </c>
      <c r="E317" s="18" t="n">
        <v>45</v>
      </c>
      <c r="F317" s="18" t="n">
        <v>60</v>
      </c>
      <c r="G317" s="18">
        <f>F317-E317</f>
        <v/>
      </c>
      <c r="H317" s="29" t="n">
        <v>23</v>
      </c>
      <c r="I317" s="18">
        <f>E317*H317</f>
        <v/>
      </c>
      <c r="J317" s="18">
        <f>F317*H317</f>
        <v/>
      </c>
      <c r="K317" s="28">
        <f>IF(H317&lt;=0, "Out of Stock", IF(H317&lt;=5, "Low Stock", "In Stock"))</f>
        <v/>
      </c>
      <c r="L317" s="28" t="inlineStr">
        <is>
          <t>2025-07-12 04:25 PM</t>
        </is>
      </c>
    </row>
    <row r="318">
      <c r="A318" s="26" t="inlineStr">
        <is>
          <t>8964003015862</t>
        </is>
      </c>
      <c r="B318" s="10" t="inlineStr">
        <is>
          <t>Golden pearl Glam Bleach cream</t>
        </is>
      </c>
      <c r="C318" s="10" t="inlineStr">
        <is>
          <t>Cosmetics &amp; Beauty</t>
        </is>
      </c>
      <c r="D318" s="10" t="inlineStr">
        <is>
          <t>Cosmetic</t>
        </is>
      </c>
      <c r="E318" s="13" t="n">
        <v>42</v>
      </c>
      <c r="F318" s="13" t="n">
        <v>70</v>
      </c>
      <c r="G318" s="13">
        <f>F318-E318</f>
        <v/>
      </c>
      <c r="H318" s="27" t="n">
        <v>21</v>
      </c>
      <c r="I318" s="13">
        <f>E318*H318</f>
        <v/>
      </c>
      <c r="J318" s="13">
        <f>F318*H318</f>
        <v/>
      </c>
      <c r="K318" s="26">
        <f>IF(H318&lt;=0, "Out of Stock", IF(H318&lt;=5, "Low Stock", "In Stock"))</f>
        <v/>
      </c>
      <c r="L318" s="26" t="inlineStr">
        <is>
          <t>2025-07-12 04:38 PM</t>
        </is>
      </c>
    </row>
    <row r="319">
      <c r="A319" s="28" t="inlineStr">
        <is>
          <t>2880357942882</t>
        </is>
      </c>
      <c r="B319" s="15" t="inlineStr">
        <is>
          <t>Jhalak Beauty Cream</t>
        </is>
      </c>
      <c r="C319" s="15" t="inlineStr">
        <is>
          <t>Cosmetics &amp; Beauty</t>
        </is>
      </c>
      <c r="D319" s="15" t="inlineStr">
        <is>
          <t>Cosmetic</t>
        </is>
      </c>
      <c r="E319" s="18" t="n">
        <v>214</v>
      </c>
      <c r="F319" s="18" t="n">
        <v>360</v>
      </c>
      <c r="G319" s="18">
        <f>F319-E319</f>
        <v/>
      </c>
      <c r="H319" s="29" t="n">
        <v>12</v>
      </c>
      <c r="I319" s="18">
        <f>E319*H319</f>
        <v/>
      </c>
      <c r="J319" s="18">
        <f>F319*H319</f>
        <v/>
      </c>
      <c r="K319" s="28">
        <f>IF(H319&lt;=0, "Out of Stock", IF(H319&lt;=5, "Low Stock", "In Stock"))</f>
        <v/>
      </c>
      <c r="L319" s="28" t="inlineStr">
        <is>
          <t>2025-07-12 06:19 PM</t>
        </is>
      </c>
    </row>
    <row r="320">
      <c r="A320" s="26" t="inlineStr">
        <is>
          <t>5893217436572</t>
        </is>
      </c>
      <c r="B320" s="10" t="inlineStr">
        <is>
          <t>Laiba Black Mask</t>
        </is>
      </c>
      <c r="C320" s="10" t="inlineStr">
        <is>
          <t>Cosmetics &amp; Beauty</t>
        </is>
      </c>
      <c r="D320" s="10" t="inlineStr">
        <is>
          <t>Cosmetic</t>
        </is>
      </c>
      <c r="E320" s="13" t="n">
        <v>39</v>
      </c>
      <c r="F320" s="13" t="n">
        <v>50</v>
      </c>
      <c r="G320" s="13">
        <f>F320-E320</f>
        <v/>
      </c>
      <c r="H320" s="27" t="n">
        <v>46</v>
      </c>
      <c r="I320" s="13">
        <f>E320*H320</f>
        <v/>
      </c>
      <c r="J320" s="13">
        <f>F320*H320</f>
        <v/>
      </c>
      <c r="K320" s="26">
        <f>IF(H320&lt;=0, "Out of Stock", IF(H320&lt;=5, "Low Stock", "In Stock"))</f>
        <v/>
      </c>
      <c r="L320" s="26" t="inlineStr">
        <is>
          <t>2025-07-12 04:35 PM</t>
        </is>
      </c>
    </row>
    <row r="321">
      <c r="A321" s="28" t="inlineStr">
        <is>
          <t>PROD-20250712-000648-Multani</t>
        </is>
      </c>
      <c r="B321" s="15" t="inlineStr">
        <is>
          <t>Multani Mitti</t>
        </is>
      </c>
      <c r="C321" s="15" t="inlineStr">
        <is>
          <t>Cosmetics &amp; Beauty</t>
        </is>
      </c>
      <c r="D321" s="15" t="inlineStr">
        <is>
          <t>Cosmetic</t>
        </is>
      </c>
      <c r="E321" s="18" t="n">
        <v>15</v>
      </c>
      <c r="F321" s="18" t="n">
        <v>30</v>
      </c>
      <c r="G321" s="18">
        <f>F321-E321</f>
        <v/>
      </c>
      <c r="H321" s="29" t="n">
        <v>48</v>
      </c>
      <c r="I321" s="18">
        <f>E321*H321</f>
        <v/>
      </c>
      <c r="J321" s="18">
        <f>F321*H321</f>
        <v/>
      </c>
      <c r="K321" s="28">
        <f>IF(H321&lt;=0, "Out of Stock", IF(H321&lt;=5, "Low Stock", "In Stock"))</f>
        <v/>
      </c>
      <c r="L321" s="28" t="inlineStr">
        <is>
          <t>2025-07-12 07:08 PM</t>
        </is>
      </c>
    </row>
    <row r="322">
      <c r="A322" s="26" t="inlineStr">
        <is>
          <t>8659584582543</t>
        </is>
      </c>
      <c r="B322" s="10" t="inlineStr">
        <is>
          <t>Pari Gold Bleach Cream</t>
        </is>
      </c>
      <c r="C322" s="10" t="inlineStr">
        <is>
          <t>Cosmetics &amp; Beauty</t>
        </is>
      </c>
      <c r="D322" s="10" t="inlineStr">
        <is>
          <t>Cosmetic</t>
        </is>
      </c>
      <c r="E322" s="13" t="n">
        <v>32</v>
      </c>
      <c r="F322" s="13" t="n">
        <v>50</v>
      </c>
      <c r="G322" s="13">
        <f>F322-E322</f>
        <v/>
      </c>
      <c r="H322" s="27" t="n">
        <v>94</v>
      </c>
      <c r="I322" s="13">
        <f>E322*H322</f>
        <v/>
      </c>
      <c r="J322" s="13">
        <f>F322*H322</f>
        <v/>
      </c>
      <c r="K322" s="26">
        <f>IF(H322&lt;=0, "Out of Stock", IF(H322&lt;=5, "Low Stock", "In Stock"))</f>
        <v/>
      </c>
      <c r="L322" s="26" t="inlineStr">
        <is>
          <t>2025-07-12 04:29 PM</t>
        </is>
      </c>
    </row>
    <row r="323">
      <c r="A323" s="28" t="inlineStr">
        <is>
          <t>8961014263046</t>
        </is>
      </c>
      <c r="B323" s="15" t="inlineStr">
        <is>
          <t>Ponds Face wash</t>
        </is>
      </c>
      <c r="C323" s="15" t="inlineStr">
        <is>
          <t>Cosmetics &amp; Beauty</t>
        </is>
      </c>
      <c r="D323" s="15" t="inlineStr">
        <is>
          <t>Cosmetic</t>
        </is>
      </c>
      <c r="E323" s="18" t="n">
        <v>430</v>
      </c>
      <c r="F323" s="18" t="n">
        <v>520</v>
      </c>
      <c r="G323" s="18">
        <f>F323-E323</f>
        <v/>
      </c>
      <c r="H323" s="29" t="n">
        <v>9</v>
      </c>
      <c r="I323" s="18">
        <f>E323*H323</f>
        <v/>
      </c>
      <c r="J323" s="18">
        <f>F323*H323</f>
        <v/>
      </c>
      <c r="K323" s="28">
        <f>IF(H323&lt;=0, "Out of Stock", IF(H323&lt;=5, "Low Stock", "In Stock"))</f>
        <v/>
      </c>
      <c r="L323" s="28" t="inlineStr">
        <is>
          <t>2025-07-12 07:14 PM</t>
        </is>
      </c>
    </row>
    <row r="324">
      <c r="A324" s="26" t="inlineStr">
        <is>
          <t>8961014248982</t>
        </is>
      </c>
      <c r="B324" s="10" t="inlineStr">
        <is>
          <t>Ponds Lotion</t>
        </is>
      </c>
      <c r="C324" s="10" t="inlineStr">
        <is>
          <t>Cosmetics &amp; Beauty</t>
        </is>
      </c>
      <c r="D324" s="10" t="inlineStr">
        <is>
          <t>Cosmetic</t>
        </is>
      </c>
      <c r="E324" s="13" t="n">
        <v>490</v>
      </c>
      <c r="F324" s="13" t="n">
        <v>600</v>
      </c>
      <c r="G324" s="13">
        <f>F324-E324</f>
        <v/>
      </c>
      <c r="H324" s="27" t="n">
        <v>19</v>
      </c>
      <c r="I324" s="13">
        <f>E324*H324</f>
        <v/>
      </c>
      <c r="J324" s="13">
        <f>F324*H324</f>
        <v/>
      </c>
      <c r="K324" s="26">
        <f>IF(H324&lt;=0, "Out of Stock", IF(H324&lt;=5, "Low Stock", "In Stock"))</f>
        <v/>
      </c>
      <c r="L324" s="26" t="inlineStr">
        <is>
          <t>2025-07-12 07:12 PM</t>
        </is>
      </c>
    </row>
    <row r="325">
      <c r="A325" s="28" t="inlineStr">
        <is>
          <t>5124510012102</t>
        </is>
      </c>
      <c r="B325" s="15" t="inlineStr">
        <is>
          <t>Skin Polish Derma Fine</t>
        </is>
      </c>
      <c r="C325" s="15" t="inlineStr">
        <is>
          <t>Cosmetics &amp; Beauty</t>
        </is>
      </c>
      <c r="D325" s="15" t="inlineStr">
        <is>
          <t>Cosmetic</t>
        </is>
      </c>
      <c r="E325" s="18" t="n">
        <v>47</v>
      </c>
      <c r="F325" s="18" t="n">
        <v>80</v>
      </c>
      <c r="G325" s="18">
        <f>F325-E325</f>
        <v/>
      </c>
      <c r="H325" s="29" t="n">
        <v>48</v>
      </c>
      <c r="I325" s="18">
        <f>E325*H325</f>
        <v/>
      </c>
      <c r="J325" s="18">
        <f>F325*H325</f>
        <v/>
      </c>
      <c r="K325" s="28">
        <f>IF(H325&lt;=0, "Out of Stock", IF(H325&lt;=5, "Low Stock", "In Stock"))</f>
        <v/>
      </c>
      <c r="L325" s="28" t="inlineStr">
        <is>
          <t>2025-07-12 04:16 PM</t>
        </is>
      </c>
    </row>
    <row r="326">
      <c r="A326" s="26" t="inlineStr">
        <is>
          <t>6260694900909</t>
        </is>
      </c>
      <c r="B326" s="10" t="inlineStr">
        <is>
          <t>CHIBO CREAM</t>
        </is>
      </c>
      <c r="C326" s="10" t="inlineStr">
        <is>
          <t>Cream</t>
        </is>
      </c>
      <c r="D326" s="10" t="inlineStr">
        <is>
          <t>Cream</t>
        </is>
      </c>
      <c r="E326" s="13" t="n">
        <v>96.11</v>
      </c>
      <c r="F326" s="13" t="n">
        <v>130</v>
      </c>
      <c r="G326" s="13">
        <f>F326-E326</f>
        <v/>
      </c>
      <c r="H326" s="27" t="n">
        <v>52</v>
      </c>
      <c r="I326" s="13">
        <f>E326*H326</f>
        <v/>
      </c>
      <c r="J326" s="13">
        <f>F326*H326</f>
        <v/>
      </c>
      <c r="K326" s="26">
        <f>IF(H326&lt;=0, "Out of Stock", IF(H326&lt;=5, "Low Stock", "In Stock"))</f>
        <v/>
      </c>
      <c r="L326" s="26" t="inlineStr">
        <is>
          <t>2025-07-17 08:04 AM</t>
        </is>
      </c>
    </row>
    <row r="327">
      <c r="A327" s="28" t="inlineStr">
        <is>
          <t>6260176816179</t>
        </is>
      </c>
      <c r="B327" s="15" t="inlineStr">
        <is>
          <t>MIHAN CREAM</t>
        </is>
      </c>
      <c r="C327" s="15" t="inlineStr">
        <is>
          <t>Cream</t>
        </is>
      </c>
      <c r="D327" s="15" t="inlineStr">
        <is>
          <t>Cream</t>
        </is>
      </c>
      <c r="E327" s="18" t="n">
        <v>100</v>
      </c>
      <c r="F327" s="18" t="n">
        <v>150</v>
      </c>
      <c r="G327" s="18">
        <f>F327-E327</f>
        <v/>
      </c>
      <c r="H327" s="29" t="n">
        <v>0</v>
      </c>
      <c r="I327" s="18">
        <f>E327*H327</f>
        <v/>
      </c>
      <c r="J327" s="18">
        <f>F327*H327</f>
        <v/>
      </c>
      <c r="K327" s="28">
        <f>IF(H327&lt;=0, "Out of Stock", IF(H327&lt;=5, "Low Stock", "In Stock"))</f>
        <v/>
      </c>
      <c r="L327" s="28" t="inlineStr">
        <is>
          <t>2025-07-17 08:05 AM</t>
        </is>
      </c>
    </row>
    <row r="328">
      <c r="A328" s="26" t="inlineStr">
        <is>
          <t>8961008218328</t>
        </is>
      </c>
      <c r="B328" s="10" t="inlineStr">
        <is>
          <t>NESTLE CREAM 200ML</t>
        </is>
      </c>
      <c r="C328" s="10" t="inlineStr">
        <is>
          <t>Cream</t>
        </is>
      </c>
      <c r="D328" s="10" t="inlineStr">
        <is>
          <t>Cream</t>
        </is>
      </c>
      <c r="E328" s="13" t="n">
        <v>210.74</v>
      </c>
      <c r="F328" s="13" t="n">
        <v>240</v>
      </c>
      <c r="G328" s="13">
        <f>F328-E328</f>
        <v/>
      </c>
      <c r="H328" s="27" t="n">
        <v>4</v>
      </c>
      <c r="I328" s="13">
        <f>E328*H328</f>
        <v/>
      </c>
      <c r="J328" s="13">
        <f>F328*H328</f>
        <v/>
      </c>
      <c r="K328" s="26">
        <f>IF(H328&lt;=0, "Out of Stock", IF(H328&lt;=5, "Low Stock", "In Stock"))</f>
        <v/>
      </c>
      <c r="L328" s="26" t="inlineStr">
        <is>
          <t>2025-07-16 07:15 PM</t>
        </is>
      </c>
    </row>
    <row r="329">
      <c r="A329" s="28" t="inlineStr">
        <is>
          <t>8964000919712</t>
        </is>
      </c>
      <c r="B329" s="15" t="inlineStr">
        <is>
          <t>OLPER,S CREAM 200ML</t>
        </is>
      </c>
      <c r="C329" s="15" t="inlineStr">
        <is>
          <t>Cream</t>
        </is>
      </c>
      <c r="D329" s="15" t="inlineStr">
        <is>
          <t>Cream</t>
        </is>
      </c>
      <c r="E329" s="18" t="n">
        <v>208.37</v>
      </c>
      <c r="F329" s="18" t="n">
        <v>240</v>
      </c>
      <c r="G329" s="18">
        <f>F329-E329</f>
        <v/>
      </c>
      <c r="H329" s="29" t="n">
        <v>43</v>
      </c>
      <c r="I329" s="18">
        <f>E329*H329</f>
        <v/>
      </c>
      <c r="J329" s="18">
        <f>F329*H329</f>
        <v/>
      </c>
      <c r="K329" s="28">
        <f>IF(H329&lt;=0, "Out of Stock", IF(H329&lt;=5, "Low Stock", "In Stock"))</f>
        <v/>
      </c>
      <c r="L329" s="28" t="inlineStr">
        <is>
          <t>2025-07-16 07:16 PM</t>
        </is>
      </c>
    </row>
    <row r="330">
      <c r="A330" s="26" t="inlineStr">
        <is>
          <t>6260074000434</t>
        </is>
      </c>
      <c r="B330" s="10" t="inlineStr">
        <is>
          <t>RAMAK CREAM</t>
        </is>
      </c>
      <c r="C330" s="10" t="inlineStr">
        <is>
          <t>Cream</t>
        </is>
      </c>
      <c r="D330" s="10" t="inlineStr">
        <is>
          <t>Cream</t>
        </is>
      </c>
      <c r="E330" s="13" t="n">
        <v>100</v>
      </c>
      <c r="F330" s="13" t="n">
        <v>150</v>
      </c>
      <c r="G330" s="13">
        <f>F330-E330</f>
        <v/>
      </c>
      <c r="H330" s="27" t="n">
        <v>4</v>
      </c>
      <c r="I330" s="13">
        <f>E330*H330</f>
        <v/>
      </c>
      <c r="J330" s="13">
        <f>F330*H330</f>
        <v/>
      </c>
      <c r="K330" s="26">
        <f>IF(H330&lt;=0, "Out of Stock", IF(H330&lt;=5, "Low Stock", "In Stock"))</f>
        <v/>
      </c>
      <c r="L330" s="26" t="inlineStr">
        <is>
          <t>2025-07-24 06:13 PM</t>
        </is>
      </c>
    </row>
    <row r="331">
      <c r="A331" s="28" t="inlineStr">
        <is>
          <t>8850297147856</t>
        </is>
      </c>
      <c r="B331" s="15" t="inlineStr">
        <is>
          <t>BREAD CRUMBS</t>
        </is>
      </c>
      <c r="C331" s="15" t="inlineStr">
        <is>
          <t>Crums</t>
        </is>
      </c>
      <c r="D331" s="15" t="inlineStr">
        <is>
          <t>Crums</t>
        </is>
      </c>
      <c r="E331" s="18" t="n">
        <v>220</v>
      </c>
      <c r="F331" s="18" t="n">
        <v>320</v>
      </c>
      <c r="G331" s="18">
        <f>F331-E331</f>
        <v/>
      </c>
      <c r="H331" s="29" t="n">
        <v>10</v>
      </c>
      <c r="I331" s="18">
        <f>E331*H331</f>
        <v/>
      </c>
      <c r="J331" s="18">
        <f>F331*H331</f>
        <v/>
      </c>
      <c r="K331" s="28">
        <f>IF(H331&lt;=0, "Out of Stock", IF(H331&lt;=5, "Low Stock", "In Stock"))</f>
        <v/>
      </c>
      <c r="L331" s="28" t="inlineStr">
        <is>
          <t>2025-07-18 06:17 PM</t>
        </is>
      </c>
    </row>
    <row r="332">
      <c r="A332" s="26" t="inlineStr">
        <is>
          <t>8961014018172</t>
        </is>
      </c>
      <c r="B332" s="10" t="inlineStr">
        <is>
          <t>RAFHAN CUSTARD MANGO</t>
        </is>
      </c>
      <c r="C332" s="10" t="inlineStr">
        <is>
          <t>Custard</t>
        </is>
      </c>
      <c r="D332" s="10" t="inlineStr">
        <is>
          <t>Custard</t>
        </is>
      </c>
      <c r="E332" s="13" t="n">
        <v>37.51</v>
      </c>
      <c r="F332" s="13" t="n">
        <v>40</v>
      </c>
      <c r="G332" s="13">
        <f>F332-E332</f>
        <v/>
      </c>
      <c r="H332" s="27" t="n">
        <v>36</v>
      </c>
      <c r="I332" s="13">
        <f>E332*H332</f>
        <v/>
      </c>
      <c r="J332" s="13">
        <f>F332*H332</f>
        <v/>
      </c>
      <c r="K332" s="26">
        <f>IF(H332&lt;=0, "Out of Stock", IF(H332&lt;=5, "Low Stock", "In Stock"))</f>
        <v/>
      </c>
      <c r="L332" s="26" t="inlineStr">
        <is>
          <t>2025-07-15 04:26 PM</t>
        </is>
      </c>
    </row>
    <row r="333">
      <c r="A333" s="28" t="inlineStr">
        <is>
          <t>8961014008425</t>
        </is>
      </c>
      <c r="B333" s="15" t="inlineStr">
        <is>
          <t>RAFHAN MANGO JELLY</t>
        </is>
      </c>
      <c r="C333" s="15" t="inlineStr">
        <is>
          <t>Custard</t>
        </is>
      </c>
      <c r="D333" s="15" t="inlineStr">
        <is>
          <t>Custard</t>
        </is>
      </c>
      <c r="E333" s="18" t="n">
        <v>140</v>
      </c>
      <c r="F333" s="18" t="n">
        <v>160</v>
      </c>
      <c r="G333" s="18">
        <f>F333-E333</f>
        <v/>
      </c>
      <c r="H333" s="29" t="n">
        <v>4</v>
      </c>
      <c r="I333" s="18">
        <f>E333*H333</f>
        <v/>
      </c>
      <c r="J333" s="18">
        <f>F333*H333</f>
        <v/>
      </c>
      <c r="K333" s="28">
        <f>IF(H333&lt;=0, "Out of Stock", IF(H333&lt;=5, "Low Stock", "In Stock"))</f>
        <v/>
      </c>
      <c r="L333" s="28" t="inlineStr">
        <is>
          <t>2025-07-13 12:04 PM</t>
        </is>
      </c>
    </row>
    <row r="334">
      <c r="A334" s="26" t="inlineStr">
        <is>
          <t>8961014018202</t>
        </is>
      </c>
      <c r="B334" s="10" t="inlineStr">
        <is>
          <t>RAFHAN STRABERRY CUSTARD</t>
        </is>
      </c>
      <c r="C334" s="10" t="inlineStr">
        <is>
          <t>Custard</t>
        </is>
      </c>
      <c r="D334" s="10" t="inlineStr">
        <is>
          <t>Custard</t>
        </is>
      </c>
      <c r="E334" s="13" t="n">
        <v>170</v>
      </c>
      <c r="F334" s="13" t="n">
        <v>190</v>
      </c>
      <c r="G334" s="13">
        <f>F334-E334</f>
        <v/>
      </c>
      <c r="H334" s="27" t="n">
        <v>0</v>
      </c>
      <c r="I334" s="13">
        <f>E334*H334</f>
        <v/>
      </c>
      <c r="J334" s="13">
        <f>F334*H334</f>
        <v/>
      </c>
      <c r="K334" s="26">
        <f>IF(H334&lt;=0, "Out of Stock", IF(H334&lt;=5, "Low Stock", "In Stock"))</f>
        <v/>
      </c>
      <c r="L334" s="26" t="inlineStr">
        <is>
          <t>2025-07-13 12:05 PM</t>
        </is>
      </c>
    </row>
    <row r="335">
      <c r="A335" s="28" t="inlineStr">
        <is>
          <t>5011650</t>
        </is>
      </c>
      <c r="B335" s="15" t="inlineStr">
        <is>
          <t>Organic Dates Mazaffatie</t>
        </is>
      </c>
      <c r="C335" s="15" t="inlineStr">
        <is>
          <t>Dates</t>
        </is>
      </c>
      <c r="D335" s="15" t="inlineStr">
        <is>
          <t>Dates</t>
        </is>
      </c>
      <c r="E335" s="18" t="n">
        <v>400</v>
      </c>
      <c r="F335" s="18" t="n">
        <v>500</v>
      </c>
      <c r="G335" s="18">
        <f>F335-E335</f>
        <v/>
      </c>
      <c r="H335" s="29" t="n">
        <v>20</v>
      </c>
      <c r="I335" s="18">
        <f>E335*H335</f>
        <v/>
      </c>
      <c r="J335" s="18">
        <f>F335*H335</f>
        <v/>
      </c>
      <c r="K335" s="28">
        <f>IF(H335&lt;=0, "Out of Stock", IF(H335&lt;=5, "Low Stock", "In Stock"))</f>
        <v/>
      </c>
      <c r="L335" s="28" t="inlineStr">
        <is>
          <t>2025-07-12 05:32 PM</t>
        </is>
      </c>
    </row>
    <row r="336">
      <c r="A336" s="26" t="inlineStr">
        <is>
          <t>5487572458562</t>
        </is>
      </c>
      <c r="B336" s="10" t="inlineStr">
        <is>
          <t>EGON DRAIN OPEN 600ML</t>
        </is>
      </c>
      <c r="C336" s="10" t="inlineStr">
        <is>
          <t>Drain Opener</t>
        </is>
      </c>
      <c r="D336" s="10" t="inlineStr">
        <is>
          <t>Drain Opener</t>
        </is>
      </c>
      <c r="E336" s="13" t="n">
        <v>102</v>
      </c>
      <c r="F336" s="13" t="n">
        <v>220</v>
      </c>
      <c r="G336" s="13">
        <f>F336-E336</f>
        <v/>
      </c>
      <c r="H336" s="27" t="n">
        <v>13</v>
      </c>
      <c r="I336" s="13">
        <f>E336*H336</f>
        <v/>
      </c>
      <c r="J336" s="13">
        <f>F336*H336</f>
        <v/>
      </c>
      <c r="K336" s="26">
        <f>IF(H336&lt;=0, "Out of Stock", IF(H336&lt;=5, "Low Stock", "In Stock"))</f>
        <v/>
      </c>
      <c r="L336" s="26" t="inlineStr">
        <is>
          <t>2025-07-14 04:56 PM</t>
        </is>
      </c>
    </row>
    <row r="337">
      <c r="A337" s="28" t="inlineStr">
        <is>
          <t>9780201337792</t>
        </is>
      </c>
      <c r="B337" s="15" t="inlineStr">
        <is>
          <t>RAPID DRAIN OPENER 600ML</t>
        </is>
      </c>
      <c r="C337" s="15" t="inlineStr">
        <is>
          <t>Drain Opener</t>
        </is>
      </c>
      <c r="D337" s="15" t="inlineStr">
        <is>
          <t>Drain Opener</t>
        </is>
      </c>
      <c r="E337" s="18" t="n">
        <v>126.82</v>
      </c>
      <c r="F337" s="18" t="n">
        <v>220</v>
      </c>
      <c r="G337" s="18">
        <f>F337-E337</f>
        <v/>
      </c>
      <c r="H337" s="29" t="n">
        <v>44</v>
      </c>
      <c r="I337" s="18">
        <f>E337*H337</f>
        <v/>
      </c>
      <c r="J337" s="18">
        <f>F337*H337</f>
        <v/>
      </c>
      <c r="K337" s="28">
        <f>IF(H337&lt;=0, "Out of Stock", IF(H337&lt;=5, "Low Stock", "In Stock"))</f>
        <v/>
      </c>
      <c r="L337" s="28" t="inlineStr">
        <is>
          <t>2025-07-14 06:56 PM</t>
        </is>
      </c>
    </row>
    <row r="338">
      <c r="A338" s="26" t="inlineStr">
        <is>
          <t>PROD-20250713-KAJOO</t>
        </is>
      </c>
      <c r="B338" s="10" t="inlineStr">
        <is>
          <t>KAJOO FRIED</t>
        </is>
      </c>
      <c r="C338" s="10" t="inlineStr">
        <is>
          <t>Dry Fruit</t>
        </is>
      </c>
      <c r="D338" s="10" t="inlineStr">
        <is>
          <t>Dry Fruit</t>
        </is>
      </c>
      <c r="E338" s="13" t="n">
        <v>2400</v>
      </c>
      <c r="F338" s="13" t="n">
        <v>3200</v>
      </c>
      <c r="G338" s="13">
        <f>F338-E338</f>
        <v/>
      </c>
      <c r="H338" s="27" t="n">
        <v>1</v>
      </c>
      <c r="I338" s="13">
        <f>E338*H338</f>
        <v/>
      </c>
      <c r="J338" s="13">
        <f>F338*H338</f>
        <v/>
      </c>
      <c r="K338" s="26">
        <f>IF(H338&lt;=0, "Out of Stock", IF(H338&lt;=5, "Low Stock", "In Stock"))</f>
        <v/>
      </c>
      <c r="L338" s="26" t="inlineStr">
        <is>
          <t>2025-07-13 02:25 PM</t>
        </is>
      </c>
    </row>
    <row r="339">
      <c r="A339" s="28" t="inlineStr">
        <is>
          <t>PROD-20250713-KISHMISH</t>
        </is>
      </c>
      <c r="B339" s="15" t="inlineStr">
        <is>
          <t>KISHMISH CHINA</t>
        </is>
      </c>
      <c r="C339" s="15" t="inlineStr">
        <is>
          <t>Dry Fruit</t>
        </is>
      </c>
      <c r="D339" s="15" t="inlineStr">
        <is>
          <t>Dry Fruit</t>
        </is>
      </c>
      <c r="E339" s="18" t="n">
        <v>800</v>
      </c>
      <c r="F339" s="18" t="n">
        <v>1200</v>
      </c>
      <c r="G339" s="18">
        <f>F339-E339</f>
        <v/>
      </c>
      <c r="H339" s="29" t="n">
        <v>2.7</v>
      </c>
      <c r="I339" s="18">
        <f>E339*H339</f>
        <v/>
      </c>
      <c r="J339" s="18">
        <f>F339*H339</f>
        <v/>
      </c>
      <c r="K339" s="28">
        <f>IF(H339&lt;=0, "Out of Stock", IF(H339&lt;=5, "Low Stock", "In Stock"))</f>
        <v/>
      </c>
      <c r="L339" s="28" t="inlineStr">
        <is>
          <t>2025-07-13 02:24 PM</t>
        </is>
      </c>
    </row>
    <row r="340">
      <c r="A340" s="26" t="inlineStr">
        <is>
          <t>PROD-20250713-192024-KISHMI</t>
        </is>
      </c>
      <c r="B340" s="10" t="inlineStr">
        <is>
          <t>KISHMISH PULAO</t>
        </is>
      </c>
      <c r="C340" s="10" t="inlineStr">
        <is>
          <t>Dry Fruit</t>
        </is>
      </c>
      <c r="D340" s="10" t="inlineStr">
        <is>
          <t>Dry Fruit</t>
        </is>
      </c>
      <c r="E340" s="13" t="n">
        <v>500</v>
      </c>
      <c r="F340" s="13" t="n">
        <v>800</v>
      </c>
      <c r="G340" s="13">
        <f>F340-E340</f>
        <v/>
      </c>
      <c r="H340" s="27" t="n">
        <v>24.37</v>
      </c>
      <c r="I340" s="13">
        <f>E340*H340</f>
        <v/>
      </c>
      <c r="J340" s="13">
        <f>F340*H340</f>
        <v/>
      </c>
      <c r="K340" s="26">
        <f>IF(H340&lt;=0, "Out of Stock", IF(H340&lt;=5, "Low Stock", "In Stock"))</f>
        <v/>
      </c>
      <c r="L340" s="26" t="inlineStr">
        <is>
          <t>2025-07-13 02:23 PM</t>
        </is>
      </c>
    </row>
    <row r="341">
      <c r="A341" s="28" t="inlineStr">
        <is>
          <t>PROD-20250718-113424-NEW</t>
        </is>
      </c>
      <c r="B341" s="15" t="inlineStr">
        <is>
          <t>EGG</t>
        </is>
      </c>
      <c r="C341" s="15" t="inlineStr">
        <is>
          <t>Egg</t>
        </is>
      </c>
      <c r="D341" s="15" t="inlineStr">
        <is>
          <t>Egg</t>
        </is>
      </c>
      <c r="E341" s="18" t="n">
        <v>22.17</v>
      </c>
      <c r="F341" s="18" t="n">
        <v>25</v>
      </c>
      <c r="G341" s="18">
        <f>F341-E341</f>
        <v/>
      </c>
      <c r="H341" s="29" t="n">
        <v>280</v>
      </c>
      <c r="I341" s="18">
        <f>E341*H341</f>
        <v/>
      </c>
      <c r="J341" s="18">
        <f>F341*H341</f>
        <v/>
      </c>
      <c r="K341" s="28">
        <f>IF(H341&lt;=0, "Out of Stock", IF(H341&lt;=5, "Low Stock", "In Stock"))</f>
        <v/>
      </c>
      <c r="L341" s="28" t="inlineStr">
        <is>
          <t>2025-07-18 06:38 AM</t>
        </is>
      </c>
    </row>
    <row r="342">
      <c r="A342" s="26" t="inlineStr">
        <is>
          <t>PROD-20250717-211517-NEW</t>
        </is>
      </c>
      <c r="B342" s="10" t="inlineStr">
        <is>
          <t>ELFY BONDS</t>
        </is>
      </c>
      <c r="C342" s="10" t="inlineStr">
        <is>
          <t>Elfy</t>
        </is>
      </c>
      <c r="D342" s="10" t="inlineStr">
        <is>
          <t>Elfy</t>
        </is>
      </c>
      <c r="E342" s="13" t="n">
        <v>16</v>
      </c>
      <c r="F342" s="13" t="n">
        <v>30</v>
      </c>
      <c r="G342" s="13">
        <f>F342-E342</f>
        <v/>
      </c>
      <c r="H342" s="27" t="n">
        <v>63</v>
      </c>
      <c r="I342" s="13">
        <f>E342*H342</f>
        <v/>
      </c>
      <c r="J342" s="13">
        <f>F342*H342</f>
        <v/>
      </c>
      <c r="K342" s="26">
        <f>IF(H342&lt;=0, "Out of Stock", IF(H342&lt;=5, "Low Stock", "In Stock"))</f>
        <v/>
      </c>
      <c r="L342" s="26" t="inlineStr">
        <is>
          <t>2025-07-17 04:16 PM</t>
        </is>
      </c>
    </row>
    <row r="343">
      <c r="A343" s="28" t="inlineStr">
        <is>
          <t>6291101136758</t>
        </is>
      </c>
      <c r="B343" s="15" t="inlineStr">
        <is>
          <t>ALKOZAY GINSENG</t>
        </is>
      </c>
      <c r="C343" s="15" t="inlineStr">
        <is>
          <t>Energy Drinks</t>
        </is>
      </c>
      <c r="D343" s="15" t="inlineStr">
        <is>
          <t>Energy Drink</t>
        </is>
      </c>
      <c r="E343" s="18" t="n">
        <v>188</v>
      </c>
      <c r="F343" s="18" t="n">
        <v>250</v>
      </c>
      <c r="G343" s="18">
        <f>F343-E343</f>
        <v/>
      </c>
      <c r="H343" s="29" t="n">
        <v>47</v>
      </c>
      <c r="I343" s="18">
        <f>E343*H343</f>
        <v/>
      </c>
      <c r="J343" s="18">
        <f>F343*H343</f>
        <v/>
      </c>
      <c r="K343" s="28">
        <f>IF(H343&lt;=0, "Out of Stock", IF(H343&lt;=5, "Low Stock", "In Stock"))</f>
        <v/>
      </c>
      <c r="L343" s="28" t="inlineStr">
        <is>
          <t>2025-07-17 10:14 AM</t>
        </is>
      </c>
    </row>
    <row r="344">
      <c r="A344" s="26" t="inlineStr">
        <is>
          <t>8806001087994</t>
        </is>
      </c>
      <c r="B344" s="10" t="inlineStr">
        <is>
          <t>GINSENG ENERGY DRINK</t>
        </is>
      </c>
      <c r="C344" s="10" t="inlineStr">
        <is>
          <t>Energy Drinks</t>
        </is>
      </c>
      <c r="D344" s="10" t="inlineStr">
        <is>
          <t>Energy Drink</t>
        </is>
      </c>
      <c r="E344" s="13" t="n">
        <v>281.55</v>
      </c>
      <c r="F344" s="13" t="n">
        <v>350</v>
      </c>
      <c r="G344" s="13">
        <f>F344-E344</f>
        <v/>
      </c>
      <c r="H344" s="27" t="n">
        <v>296</v>
      </c>
      <c r="I344" s="13">
        <f>E344*H344</f>
        <v/>
      </c>
      <c r="J344" s="13">
        <f>F344*H344</f>
        <v/>
      </c>
      <c r="K344" s="26">
        <f>IF(H344&lt;=0, "Out of Stock", IF(H344&lt;=5, "Low Stock", "In Stock"))</f>
        <v/>
      </c>
      <c r="L344" s="26" t="inlineStr">
        <is>
          <t>2025-07-17 10:23 AM</t>
        </is>
      </c>
    </row>
    <row r="345">
      <c r="A345" s="28" t="inlineStr">
        <is>
          <t>932157631380</t>
        </is>
      </c>
      <c r="B345" s="15" t="inlineStr">
        <is>
          <t>HIT BLUE ENERGY DRINK</t>
        </is>
      </c>
      <c r="C345" s="15" t="inlineStr">
        <is>
          <t>Energy Drinks</t>
        </is>
      </c>
      <c r="D345" s="15" t="inlineStr">
        <is>
          <t>Energy Drink</t>
        </is>
      </c>
      <c r="E345" s="18" t="n">
        <v>187.43</v>
      </c>
      <c r="F345" s="18" t="n">
        <v>250</v>
      </c>
      <c r="G345" s="18">
        <f>F345-E345</f>
        <v/>
      </c>
      <c r="H345" s="29" t="n">
        <v>71</v>
      </c>
      <c r="I345" s="18">
        <f>E345*H345</f>
        <v/>
      </c>
      <c r="J345" s="18">
        <f>F345*H345</f>
        <v/>
      </c>
      <c r="K345" s="28">
        <f>IF(H345&lt;=0, "Out of Stock", IF(H345&lt;=5, "Low Stock", "In Stock"))</f>
        <v/>
      </c>
      <c r="L345" s="28" t="inlineStr">
        <is>
          <t>2025-07-17 10:12 AM</t>
        </is>
      </c>
    </row>
    <row r="346">
      <c r="A346" s="26" t="inlineStr">
        <is>
          <t>932157631373</t>
        </is>
      </c>
      <c r="B346" s="10" t="inlineStr">
        <is>
          <t>HIT ENERGY DRINK GREEN</t>
        </is>
      </c>
      <c r="C346" s="10" t="inlineStr">
        <is>
          <t>Energy Drinks</t>
        </is>
      </c>
      <c r="D346" s="10" t="inlineStr">
        <is>
          <t>Energy Drink</t>
        </is>
      </c>
      <c r="E346" s="13" t="n">
        <v>187.33</v>
      </c>
      <c r="F346" s="13" t="n">
        <v>250</v>
      </c>
      <c r="G346" s="13">
        <f>F346-E346</f>
        <v/>
      </c>
      <c r="H346" s="27" t="n">
        <v>46</v>
      </c>
      <c r="I346" s="13">
        <f>E346*H346</f>
        <v/>
      </c>
      <c r="J346" s="13">
        <f>F346*H346</f>
        <v/>
      </c>
      <c r="K346" s="26">
        <f>IF(H346&lt;=0, "Out of Stock", IF(H346&lt;=5, "Low Stock", "In Stock"))</f>
        <v/>
      </c>
      <c r="L346" s="26" t="inlineStr">
        <is>
          <t>2025-07-20 04:29 PM</t>
        </is>
      </c>
    </row>
    <row r="347">
      <c r="A347" s="28" t="inlineStr">
        <is>
          <t>90162602</t>
        </is>
      </c>
      <c r="B347" s="15" t="inlineStr">
        <is>
          <t>RED BULL ENERGY DRINK</t>
        </is>
      </c>
      <c r="C347" s="15" t="inlineStr">
        <is>
          <t>Energy Drinks</t>
        </is>
      </c>
      <c r="D347" s="15" t="inlineStr">
        <is>
          <t>Energy Drink</t>
        </is>
      </c>
      <c r="E347" s="18" t="n">
        <v>443.4</v>
      </c>
      <c r="F347" s="18" t="n">
        <v>500</v>
      </c>
      <c r="G347" s="18">
        <f>F347-E347</f>
        <v/>
      </c>
      <c r="H347" s="29" t="n">
        <v>18</v>
      </c>
      <c r="I347" s="18">
        <f>E347*H347</f>
        <v/>
      </c>
      <c r="J347" s="18">
        <f>F347*H347</f>
        <v/>
      </c>
      <c r="K347" s="28">
        <f>IF(H347&lt;=0, "Out of Stock", IF(H347&lt;=5, "Low Stock", "In Stock"))</f>
        <v/>
      </c>
      <c r="L347" s="28" t="inlineStr">
        <is>
          <t>2025-07-17 10:18 AM</t>
        </is>
      </c>
    </row>
    <row r="348">
      <c r="A348" s="26" t="inlineStr">
        <is>
          <t>90457036</t>
        </is>
      </c>
      <c r="B348" s="10" t="inlineStr">
        <is>
          <t>RED BULL RED</t>
        </is>
      </c>
      <c r="C348" s="10" t="inlineStr">
        <is>
          <t>Energy Drinks</t>
        </is>
      </c>
      <c r="D348" s="10" t="inlineStr">
        <is>
          <t>Energy Drink</t>
        </is>
      </c>
      <c r="E348" s="13" t="n">
        <v>445</v>
      </c>
      <c r="F348" s="13" t="n">
        <v>500</v>
      </c>
      <c r="G348" s="13">
        <f>F348-E348</f>
        <v/>
      </c>
      <c r="H348" s="27" t="n">
        <v>0</v>
      </c>
      <c r="I348" s="13">
        <f>E348*H348</f>
        <v/>
      </c>
      <c r="J348" s="13">
        <f>F348*H348</f>
        <v/>
      </c>
      <c r="K348" s="26">
        <f>IF(H348&lt;=0, "Out of Stock", IF(H348&lt;=5, "Low Stock", "In Stock"))</f>
        <v/>
      </c>
      <c r="L348" s="26" t="inlineStr">
        <is>
          <t>2025-07-17 10:19 AM</t>
        </is>
      </c>
    </row>
    <row r="349">
      <c r="A349" s="28" t="inlineStr">
        <is>
          <t>788364674869</t>
        </is>
      </c>
      <c r="B349" s="15" t="inlineStr">
        <is>
          <t>ZOR ENERGY DRINK</t>
        </is>
      </c>
      <c r="C349" s="15" t="inlineStr">
        <is>
          <t>Energy Drinks</t>
        </is>
      </c>
      <c r="D349" s="15" t="inlineStr">
        <is>
          <t>Energy Drink</t>
        </is>
      </c>
      <c r="E349" s="18" t="n">
        <v>234</v>
      </c>
      <c r="F349" s="18" t="n">
        <v>350</v>
      </c>
      <c r="G349" s="18">
        <f>F349-E349</f>
        <v/>
      </c>
      <c r="H349" s="29" t="n">
        <v>1</v>
      </c>
      <c r="I349" s="18">
        <f>E349*H349</f>
        <v/>
      </c>
      <c r="J349" s="18">
        <f>F349*H349</f>
        <v/>
      </c>
      <c r="K349" s="28">
        <f>IF(H349&lt;=0, "Out of Stock", IF(H349&lt;=5, "Low Stock", "In Stock"))</f>
        <v/>
      </c>
      <c r="L349" s="28" t="inlineStr">
        <is>
          <t>2025-07-17 01:08 PM</t>
        </is>
      </c>
    </row>
    <row r="350">
      <c r="A350" s="26" t="inlineStr">
        <is>
          <t>788364674845</t>
        </is>
      </c>
      <c r="B350" s="10" t="inlineStr">
        <is>
          <t>ZOR GINSENG BLACK</t>
        </is>
      </c>
      <c r="C350" s="10" t="inlineStr">
        <is>
          <t>Energy Drinks</t>
        </is>
      </c>
      <c r="D350" s="10" t="inlineStr">
        <is>
          <t>Enery Drink</t>
        </is>
      </c>
      <c r="E350" s="13" t="n">
        <v>233</v>
      </c>
      <c r="F350" s="13" t="n">
        <v>350</v>
      </c>
      <c r="G350" s="13">
        <f>F350-E350</f>
        <v/>
      </c>
      <c r="H350" s="27" t="n">
        <v>4</v>
      </c>
      <c r="I350" s="13">
        <f>E350*H350</f>
        <v/>
      </c>
      <c r="J350" s="13">
        <f>F350*H350</f>
        <v/>
      </c>
      <c r="K350" s="26">
        <f>IF(H350&lt;=0, "Out of Stock", IF(H350&lt;=5, "Low Stock", "In Stock"))</f>
        <v/>
      </c>
      <c r="L350" s="26" t="inlineStr">
        <is>
          <t>2025-07-17 01:11 PM</t>
        </is>
      </c>
    </row>
    <row r="351">
      <c r="A351" s="28" t="inlineStr">
        <is>
          <t>742761777165</t>
        </is>
      </c>
      <c r="B351" s="15" t="inlineStr">
        <is>
          <t>PENCIL ERASER BAHADUR</t>
        </is>
      </c>
      <c r="C351" s="15" t="inlineStr">
        <is>
          <t>Eraser</t>
        </is>
      </c>
      <c r="D351" s="15" t="inlineStr">
        <is>
          <t>Eraser</t>
        </is>
      </c>
      <c r="E351" s="18" t="n">
        <v>5</v>
      </c>
      <c r="F351" s="18" t="n">
        <v>10</v>
      </c>
      <c r="G351" s="18">
        <f>F351-E351</f>
        <v/>
      </c>
      <c r="H351" s="29" t="n">
        <v>180</v>
      </c>
      <c r="I351" s="18">
        <f>E351*H351</f>
        <v/>
      </c>
      <c r="J351" s="18">
        <f>F351*H351</f>
        <v/>
      </c>
      <c r="K351" s="28">
        <f>IF(H351&lt;=0, "Out of Stock", IF(H351&lt;=5, "Low Stock", "In Stock"))</f>
        <v/>
      </c>
      <c r="L351" s="28" t="inlineStr">
        <is>
          <t>2025-07-13 05:59 PM</t>
        </is>
      </c>
    </row>
    <row r="352">
      <c r="A352" s="26" t="inlineStr">
        <is>
          <t>8961014247015</t>
        </is>
      </c>
      <c r="B352" s="10" t="inlineStr">
        <is>
          <t>COMFORT FABRIC CONDITIONER</t>
        </is>
      </c>
      <c r="C352" s="10" t="inlineStr">
        <is>
          <t>Fabric Conditioner</t>
        </is>
      </c>
      <c r="D352" s="10" t="inlineStr">
        <is>
          <t>Fabric Conditioner</t>
        </is>
      </c>
      <c r="E352" s="13" t="n">
        <v>225</v>
      </c>
      <c r="F352" s="13" t="n">
        <v>250</v>
      </c>
      <c r="G352" s="13">
        <f>F352-E352</f>
        <v/>
      </c>
      <c r="H352" s="27" t="n">
        <v>9</v>
      </c>
      <c r="I352" s="13">
        <f>E352*H352</f>
        <v/>
      </c>
      <c r="J352" s="13">
        <f>F352*H352</f>
        <v/>
      </c>
      <c r="K352" s="26">
        <f>IF(H352&lt;=0, "Out of Stock", IF(H352&lt;=5, "Low Stock", "In Stock"))</f>
        <v/>
      </c>
      <c r="L352" s="26" t="inlineStr">
        <is>
          <t>2025-07-14 07:53 PM</t>
        </is>
      </c>
    </row>
    <row r="353">
      <c r="A353" s="28" t="inlineStr">
        <is>
          <t>788364465573</t>
        </is>
      </c>
      <c r="B353" s="15" t="inlineStr">
        <is>
          <t>FEEDING NEEPLE</t>
        </is>
      </c>
      <c r="C353" s="15" t="inlineStr">
        <is>
          <t>Feeding Nipple</t>
        </is>
      </c>
      <c r="D353" s="15" t="inlineStr">
        <is>
          <t>Feeding Nipple</t>
        </is>
      </c>
      <c r="E353" s="18" t="n">
        <v>65</v>
      </c>
      <c r="F353" s="18" t="n">
        <v>90</v>
      </c>
      <c r="G353" s="18">
        <f>F353-E353</f>
        <v/>
      </c>
      <c r="H353" s="29" t="n">
        <v>7</v>
      </c>
      <c r="I353" s="18">
        <f>E353*H353</f>
        <v/>
      </c>
      <c r="J353" s="18">
        <f>F353*H353</f>
        <v/>
      </c>
      <c r="K353" s="28">
        <f>IF(H353&lt;=0, "Out of Stock", IF(H353&lt;=5, "Low Stock", "In Stock"))</f>
        <v/>
      </c>
      <c r="L353" s="28" t="inlineStr">
        <is>
          <t>2025-07-13 03:59 PM</t>
        </is>
      </c>
    </row>
    <row r="354">
      <c r="A354" s="26" t="inlineStr">
        <is>
          <t>6262041300011</t>
        </is>
      </c>
      <c r="B354" s="10" t="inlineStr">
        <is>
          <t>AHSH RASHTAH MUMTAZ</t>
        </is>
      </c>
      <c r="C354" s="10" t="inlineStr">
        <is>
          <t>Food</t>
        </is>
      </c>
      <c r="D354" s="10" t="inlineStr">
        <is>
          <t>Food</t>
        </is>
      </c>
      <c r="E354" s="13" t="n">
        <v>305</v>
      </c>
      <c r="F354" s="13" t="n">
        <v>330</v>
      </c>
      <c r="G354" s="13">
        <f>F354-E354</f>
        <v/>
      </c>
      <c r="H354" s="27" t="n">
        <v>19</v>
      </c>
      <c r="I354" s="13">
        <f>E354*H354</f>
        <v/>
      </c>
      <c r="J354" s="13">
        <f>F354*H354</f>
        <v/>
      </c>
      <c r="K354" s="26">
        <f>IF(H354&lt;=0, "Out of Stock", IF(H354&lt;=5, "Low Stock", "In Stock"))</f>
        <v/>
      </c>
      <c r="L354" s="26" t="inlineStr">
        <is>
          <t>2025-07-13 03:54 PM</t>
        </is>
      </c>
    </row>
    <row r="355">
      <c r="A355" s="28" t="inlineStr">
        <is>
          <t>425765006027</t>
        </is>
      </c>
      <c r="B355" s="15" t="inlineStr">
        <is>
          <t>MUSHROOM WHOLE</t>
        </is>
      </c>
      <c r="C355" s="15" t="inlineStr">
        <is>
          <t>Food</t>
        </is>
      </c>
      <c r="D355" s="15" t="inlineStr">
        <is>
          <t>Food</t>
        </is>
      </c>
      <c r="E355" s="18" t="n">
        <v>350</v>
      </c>
      <c r="F355" s="18" t="n">
        <v>380</v>
      </c>
      <c r="G355" s="18">
        <f>F355-E355</f>
        <v/>
      </c>
      <c r="H355" s="29" t="n">
        <v>20</v>
      </c>
      <c r="I355" s="18">
        <f>E355*H355</f>
        <v/>
      </c>
      <c r="J355" s="18">
        <f>F355*H355</f>
        <v/>
      </c>
      <c r="K355" s="28">
        <f>IF(H355&lt;=0, "Out of Stock", IF(H355&lt;=5, "Low Stock", "In Stock"))</f>
        <v/>
      </c>
      <c r="L355" s="28" t="inlineStr">
        <is>
          <t>2025-07-18 12:52 PM</t>
        </is>
      </c>
    </row>
    <row r="356">
      <c r="A356" s="26" t="inlineStr">
        <is>
          <t>PROD-20250802-002725-NEW</t>
        </is>
      </c>
      <c r="B356" s="10" t="inlineStr">
        <is>
          <t>DIPOSABLE GLASS</t>
        </is>
      </c>
      <c r="C356" s="10" t="inlineStr">
        <is>
          <t>Glass</t>
        </is>
      </c>
      <c r="D356" s="10" t="inlineStr">
        <is>
          <t>Glass</t>
        </is>
      </c>
      <c r="E356" s="13" t="n">
        <v>2</v>
      </c>
      <c r="F356" s="13" t="n">
        <v>5</v>
      </c>
      <c r="G356" s="13">
        <f>F356-E356</f>
        <v/>
      </c>
      <c r="H356" s="27" t="n">
        <v>1987</v>
      </c>
      <c r="I356" s="13">
        <f>E356*H356</f>
        <v/>
      </c>
      <c r="J356" s="13">
        <f>F356*H356</f>
        <v/>
      </c>
      <c r="K356" s="26">
        <f>IF(H356&lt;=0, "Out of Stock", IF(H356&lt;=5, "Low Stock", "In Stock"))</f>
        <v/>
      </c>
      <c r="L356" s="26" t="inlineStr">
        <is>
          <t>2025-08-02 07:28 PM</t>
        </is>
      </c>
    </row>
    <row r="357">
      <c r="A357" s="28" t="inlineStr">
        <is>
          <t>14584587458742</t>
        </is>
      </c>
      <c r="B357" s="15" t="inlineStr">
        <is>
          <t>EGON GLASS CLEANER</t>
        </is>
      </c>
      <c r="C357" s="15" t="inlineStr">
        <is>
          <t>Glass Cleaner</t>
        </is>
      </c>
      <c r="D357" s="15" t="inlineStr">
        <is>
          <t>Glass Cleaner</t>
        </is>
      </c>
      <c r="E357" s="18" t="n">
        <v>252</v>
      </c>
      <c r="F357" s="18" t="n">
        <v>340</v>
      </c>
      <c r="G357" s="18">
        <f>F357-E357</f>
        <v/>
      </c>
      <c r="H357" s="29" t="n">
        <v>6</v>
      </c>
      <c r="I357" s="18">
        <f>E357*H357</f>
        <v/>
      </c>
      <c r="J357" s="18">
        <f>F357*H357</f>
        <v/>
      </c>
      <c r="K357" s="28">
        <f>IF(H357&lt;=0, "Out of Stock", IF(H357&lt;=5, "Low Stock", "In Stock"))</f>
        <v/>
      </c>
      <c r="L357" s="28" t="inlineStr">
        <is>
          <t>2025-07-15 07:54 AM</t>
        </is>
      </c>
    </row>
    <row r="358">
      <c r="A358" s="26" t="inlineStr">
        <is>
          <t>8672001073325</t>
        </is>
      </c>
      <c r="B358" s="10" t="inlineStr">
        <is>
          <t>GLUE STICK</t>
        </is>
      </c>
      <c r="C358" s="10" t="inlineStr">
        <is>
          <t>Glue</t>
        </is>
      </c>
      <c r="D358" s="10" t="inlineStr">
        <is>
          <t>Glue</t>
        </is>
      </c>
      <c r="E358" s="13" t="n">
        <v>60</v>
      </c>
      <c r="F358" s="13" t="n">
        <v>80</v>
      </c>
      <c r="G358" s="13">
        <f>F358-E358</f>
        <v/>
      </c>
      <c r="H358" s="27" t="n">
        <v>18</v>
      </c>
      <c r="I358" s="13">
        <f>E358*H358</f>
        <v/>
      </c>
      <c r="J358" s="13">
        <f>F358*H358</f>
        <v/>
      </c>
      <c r="K358" s="26">
        <f>IF(H358&lt;=0, "Out of Stock", IF(H358&lt;=5, "Low Stock", "In Stock"))</f>
        <v/>
      </c>
      <c r="L358" s="26" t="inlineStr">
        <is>
          <t>2025-07-13 06:38 PM</t>
        </is>
      </c>
    </row>
    <row r="359">
      <c r="A359" s="28" t="inlineStr">
        <is>
          <t>710497227179</t>
        </is>
      </c>
      <c r="B359" s="15" t="inlineStr">
        <is>
          <t>SUPER WHITE ATTA 10KG</t>
        </is>
      </c>
      <c r="C359" s="15" t="inlineStr">
        <is>
          <t>Grains, Atta &amp; Spices</t>
        </is>
      </c>
      <c r="D359" s="15" t="inlineStr">
        <is>
          <t>Atta</t>
        </is>
      </c>
      <c r="E359" s="18" t="n">
        <v>990</v>
      </c>
      <c r="F359" s="18" t="n">
        <v>1100</v>
      </c>
      <c r="G359" s="18">
        <f>F359-E359</f>
        <v/>
      </c>
      <c r="H359" s="29" t="n">
        <v>4</v>
      </c>
      <c r="I359" s="18">
        <f>E359*H359</f>
        <v/>
      </c>
      <c r="J359" s="18">
        <f>F359*H359</f>
        <v/>
      </c>
      <c r="K359" s="28">
        <f>IF(H359&lt;=0, "Out of Stock", IF(H359&lt;=5, "Low Stock", "In Stock"))</f>
        <v/>
      </c>
      <c r="L359" s="28" t="inlineStr">
        <is>
          <t>2025-07-29 07:13 PM</t>
        </is>
      </c>
    </row>
    <row r="360">
      <c r="A360" s="26" t="inlineStr">
        <is>
          <t>3570064726439</t>
        </is>
      </c>
      <c r="B360" s="10" t="inlineStr">
        <is>
          <t>BAKE PARLOR CHAT MASALA</t>
        </is>
      </c>
      <c r="C360" s="10" t="inlineStr">
        <is>
          <t>Grains, Atta &amp; Spices</t>
        </is>
      </c>
      <c r="D360" s="10" t="inlineStr">
        <is>
          <t>Grain</t>
        </is>
      </c>
      <c r="E360" s="13" t="n">
        <v>60</v>
      </c>
      <c r="F360" s="13" t="n">
        <v>80</v>
      </c>
      <c r="G360" s="13">
        <f>F360-E360</f>
        <v/>
      </c>
      <c r="H360" s="27" t="n">
        <v>2</v>
      </c>
      <c r="I360" s="13">
        <f>E360*H360</f>
        <v/>
      </c>
      <c r="J360" s="13">
        <f>F360*H360</f>
        <v/>
      </c>
      <c r="K360" s="26">
        <f>IF(H360&lt;=0, "Out of Stock", IF(H360&lt;=5, "Low Stock", "In Stock"))</f>
        <v/>
      </c>
      <c r="L360" s="26" t="inlineStr">
        <is>
          <t>2025-07-13 10:35 AM</t>
        </is>
      </c>
    </row>
    <row r="361">
      <c r="A361" s="28" t="inlineStr">
        <is>
          <t>PROD-20250713-PEPER</t>
        </is>
      </c>
      <c r="B361" s="15" t="inlineStr">
        <is>
          <t>BLACK PEPER</t>
        </is>
      </c>
      <c r="C361" s="15" t="inlineStr">
        <is>
          <t>Grains, Atta &amp; Spices</t>
        </is>
      </c>
      <c r="D361" s="15" t="inlineStr">
        <is>
          <t>Grain</t>
        </is>
      </c>
      <c r="E361" s="18" t="n">
        <v>2300</v>
      </c>
      <c r="F361" s="18" t="n">
        <v>3000</v>
      </c>
      <c r="G361" s="18">
        <f>F361-E361</f>
        <v/>
      </c>
      <c r="H361" s="29" t="n">
        <v>1</v>
      </c>
      <c r="I361" s="18">
        <f>E361*H361</f>
        <v/>
      </c>
      <c r="J361" s="18">
        <f>F361*H361</f>
        <v/>
      </c>
      <c r="K361" s="28">
        <f>IF(H361&lt;=0, "Out of Stock", IF(H361&lt;=5, "Low Stock", "In Stock"))</f>
        <v/>
      </c>
      <c r="L361" s="28" t="inlineStr">
        <is>
          <t>2025-07-13 09:54 AM</t>
        </is>
      </c>
    </row>
    <row r="362">
      <c r="A362" s="26" t="inlineStr">
        <is>
          <t>792649367469</t>
        </is>
      </c>
      <c r="B362" s="10" t="inlineStr">
        <is>
          <t>CHAKI ATTA 10KG</t>
        </is>
      </c>
      <c r="C362" s="10" t="inlineStr">
        <is>
          <t>Grains, Atta &amp; Spices</t>
        </is>
      </c>
      <c r="D362" s="10" t="inlineStr">
        <is>
          <t>Grain</t>
        </is>
      </c>
      <c r="E362" s="13" t="n">
        <v>990</v>
      </c>
      <c r="F362" s="13" t="n">
        <v>1100</v>
      </c>
      <c r="G362" s="13">
        <f>F362-E362</f>
        <v/>
      </c>
      <c r="H362" s="27" t="n">
        <v>3</v>
      </c>
      <c r="I362" s="13">
        <f>E362*H362</f>
        <v/>
      </c>
      <c r="J362" s="13">
        <f>F362*H362</f>
        <v/>
      </c>
      <c r="K362" s="26">
        <f>IF(H362&lt;=0, "Out of Stock", IF(H362&lt;=5, "Low Stock", "In Stock"))</f>
        <v/>
      </c>
      <c r="L362" s="26" t="inlineStr">
        <is>
          <t>2025-07-13 09:37 AM</t>
        </is>
      </c>
    </row>
    <row r="363">
      <c r="A363" s="28" t="inlineStr">
        <is>
          <t>710497227131</t>
        </is>
      </c>
      <c r="B363" s="15" t="inlineStr">
        <is>
          <t>CHAKI ATTA 10KG RED</t>
        </is>
      </c>
      <c r="C363" s="15" t="inlineStr">
        <is>
          <t>Grains, Atta &amp; Spices</t>
        </is>
      </c>
      <c r="D363" s="15" t="inlineStr">
        <is>
          <t>Grain</t>
        </is>
      </c>
      <c r="E363" s="18" t="n">
        <v>990</v>
      </c>
      <c r="F363" s="18" t="n">
        <v>1100</v>
      </c>
      <c r="G363" s="18">
        <f>F363-E363</f>
        <v/>
      </c>
      <c r="H363" s="29" t="n">
        <v>5</v>
      </c>
      <c r="I363" s="18">
        <f>E363*H363</f>
        <v/>
      </c>
      <c r="J363" s="18">
        <f>F363*H363</f>
        <v/>
      </c>
      <c r="K363" s="28">
        <f>IF(H363&lt;=0, "Out of Stock", IF(H363&lt;=5, "Low Stock", "In Stock"))</f>
        <v/>
      </c>
      <c r="L363" s="28" t="inlineStr">
        <is>
          <t>2025-07-13 09:39 AM</t>
        </is>
      </c>
    </row>
    <row r="364">
      <c r="A364" s="26" t="inlineStr">
        <is>
          <t>792649367452</t>
        </is>
      </c>
      <c r="B364" s="10" t="inlineStr">
        <is>
          <t>CHAKI ATTA 5KG</t>
        </is>
      </c>
      <c r="C364" s="10" t="inlineStr">
        <is>
          <t>Grains, Atta &amp; Spices</t>
        </is>
      </c>
      <c r="D364" s="10" t="inlineStr">
        <is>
          <t>Grain</t>
        </is>
      </c>
      <c r="E364" s="13" t="n">
        <v>485</v>
      </c>
      <c r="F364" s="13" t="n">
        <v>530</v>
      </c>
      <c r="G364" s="13">
        <f>F364-E364</f>
        <v/>
      </c>
      <c r="H364" s="27" t="n">
        <v>5</v>
      </c>
      <c r="I364" s="13">
        <f>E364*H364</f>
        <v/>
      </c>
      <c r="J364" s="13">
        <f>F364*H364</f>
        <v/>
      </c>
      <c r="K364" s="26">
        <f>IF(H364&lt;=0, "Out of Stock", IF(H364&lt;=5, "Low Stock", "In Stock"))</f>
        <v/>
      </c>
      <c r="L364" s="26" t="inlineStr">
        <is>
          <t>2025-07-13 09:33 AM</t>
        </is>
      </c>
    </row>
    <row r="365">
      <c r="A365" s="28" t="inlineStr">
        <is>
          <t>PROD-20250713-FINE ATTA</t>
        </is>
      </c>
      <c r="B365" s="15" t="inlineStr">
        <is>
          <t>FINA MAIDA 50KG</t>
        </is>
      </c>
      <c r="C365" s="15" t="inlineStr">
        <is>
          <t>Grains, Atta &amp; Spices</t>
        </is>
      </c>
      <c r="D365" s="15" t="inlineStr">
        <is>
          <t>Grain</t>
        </is>
      </c>
      <c r="E365" s="18" t="n">
        <v>82</v>
      </c>
      <c r="F365" s="18" t="n">
        <v>130</v>
      </c>
      <c r="G365" s="18">
        <f>F365-E365</f>
        <v/>
      </c>
      <c r="H365" s="29" t="n">
        <v>133.42</v>
      </c>
      <c r="I365" s="18">
        <f>E365*H365</f>
        <v/>
      </c>
      <c r="J365" s="18">
        <f>F365*H365</f>
        <v/>
      </c>
      <c r="K365" s="28">
        <f>IF(H365&lt;=0, "Out of Stock", IF(H365&lt;=5, "Low Stock", "In Stock"))</f>
        <v/>
      </c>
      <c r="L365" s="28" t="inlineStr">
        <is>
          <t>2025-07-13 09:47 AM</t>
        </is>
      </c>
    </row>
    <row r="366">
      <c r="A366" s="26" t="inlineStr">
        <is>
          <t>PROD-20250713-144516-ATTA</t>
        </is>
      </c>
      <c r="B366" s="10" t="inlineStr">
        <is>
          <t>FINE ATTA 50KG</t>
        </is>
      </c>
      <c r="C366" s="10" t="inlineStr">
        <is>
          <t>Grains, Atta &amp; Spices</t>
        </is>
      </c>
      <c r="D366" s="10" t="inlineStr">
        <is>
          <t>Grain</t>
        </is>
      </c>
      <c r="E366" s="13" t="n">
        <v>84</v>
      </c>
      <c r="F366" s="13" t="n">
        <v>130</v>
      </c>
      <c r="G366" s="13">
        <f>F366-E366</f>
        <v/>
      </c>
      <c r="H366" s="27" t="n">
        <v>45</v>
      </c>
      <c r="I366" s="13">
        <f>E366*H366</f>
        <v/>
      </c>
      <c r="J366" s="13">
        <f>F366*H366</f>
        <v/>
      </c>
      <c r="K366" s="26">
        <f>IF(H366&lt;=0, "Out of Stock", IF(H366&lt;=5, "Low Stock", "In Stock"))</f>
        <v/>
      </c>
      <c r="L366" s="26" t="inlineStr">
        <is>
          <t>2025-07-13 09:46 AM</t>
        </is>
      </c>
    </row>
    <row r="367">
      <c r="A367" s="28" t="inlineStr">
        <is>
          <t>PROD-20250713-MASALA</t>
        </is>
      </c>
      <c r="B367" s="15" t="inlineStr">
        <is>
          <t>GARAM MASALA</t>
        </is>
      </c>
      <c r="C367" s="15" t="inlineStr">
        <is>
          <t>Grains, Atta &amp; Spices</t>
        </is>
      </c>
      <c r="D367" s="15" t="inlineStr">
        <is>
          <t>Grain</t>
        </is>
      </c>
      <c r="E367" s="18" t="n">
        <v>1500</v>
      </c>
      <c r="F367" s="18" t="n">
        <v>2000</v>
      </c>
      <c r="G367" s="18">
        <f>F367-E367</f>
        <v/>
      </c>
      <c r="H367" s="29" t="n">
        <v>1.5</v>
      </c>
      <c r="I367" s="18">
        <f>E367*H367</f>
        <v/>
      </c>
      <c r="J367" s="18">
        <f>F367*H367</f>
        <v/>
      </c>
      <c r="K367" s="28">
        <f>IF(H367&lt;=0, "Out of Stock", IF(H367&lt;=5, "Low Stock", "In Stock"))</f>
        <v/>
      </c>
      <c r="L367" s="28" t="inlineStr">
        <is>
          <t>2025-07-13 09:55 AM</t>
        </is>
      </c>
    </row>
    <row r="368">
      <c r="A368" s="26" t="inlineStr">
        <is>
          <t>PROD-20250713-192657-GHUR</t>
        </is>
      </c>
      <c r="B368" s="10" t="inlineStr">
        <is>
          <t>GHUR PASTE</t>
        </is>
      </c>
      <c r="C368" s="10" t="inlineStr">
        <is>
          <t>Grains, Atta &amp; Spices</t>
        </is>
      </c>
      <c r="D368" s="10" t="inlineStr">
        <is>
          <t>Grain</t>
        </is>
      </c>
      <c r="E368" s="13" t="n">
        <v>240</v>
      </c>
      <c r="F368" s="13" t="n">
        <v>290</v>
      </c>
      <c r="G368" s="13">
        <f>F368-E368</f>
        <v/>
      </c>
      <c r="H368" s="27" t="n">
        <v>7.55</v>
      </c>
      <c r="I368" s="13">
        <f>E368*H368</f>
        <v/>
      </c>
      <c r="J368" s="13">
        <f>F368*H368</f>
        <v/>
      </c>
      <c r="K368" s="26">
        <f>IF(H368&lt;=0, "Out of Stock", IF(H368&lt;=5, "Low Stock", "In Stock"))</f>
        <v/>
      </c>
      <c r="L368" s="26" t="inlineStr">
        <is>
          <t>2025-07-13 02:30 PM</t>
        </is>
      </c>
    </row>
    <row r="369">
      <c r="A369" s="28" t="inlineStr">
        <is>
          <t>633152021106</t>
        </is>
      </c>
      <c r="B369" s="15" t="inlineStr">
        <is>
          <t>MEHRAN FRUIT CHAT MASALA</t>
        </is>
      </c>
      <c r="C369" s="15" t="inlineStr">
        <is>
          <t>Grains, Atta &amp; Spices</t>
        </is>
      </c>
      <c r="D369" s="15" t="inlineStr">
        <is>
          <t>Grain</t>
        </is>
      </c>
      <c r="E369" s="18" t="n">
        <v>40</v>
      </c>
      <c r="F369" s="18" t="n">
        <v>60</v>
      </c>
      <c r="G369" s="18">
        <f>F369-E369</f>
        <v/>
      </c>
      <c r="H369" s="29" t="n">
        <v>2</v>
      </c>
      <c r="I369" s="18">
        <f>E369*H369</f>
        <v/>
      </c>
      <c r="J369" s="18">
        <f>F369*H369</f>
        <v/>
      </c>
      <c r="K369" s="28">
        <f>IF(H369&lt;=0, "Out of Stock", IF(H369&lt;=5, "Low Stock", "In Stock"))</f>
        <v/>
      </c>
      <c r="L369" s="28" t="inlineStr">
        <is>
          <t>2025-07-13 10:34 AM</t>
        </is>
      </c>
    </row>
    <row r="370">
      <c r="A370" s="26" t="inlineStr">
        <is>
          <t>620514000237</t>
        </is>
      </c>
      <c r="B370" s="10" t="inlineStr">
        <is>
          <t>NATIONAL ACHAR GOSHT</t>
        </is>
      </c>
      <c r="C370" s="10" t="inlineStr">
        <is>
          <t>Grains, Atta &amp; Spices</t>
        </is>
      </c>
      <c r="D370" s="10" t="inlineStr">
        <is>
          <t>Grain</t>
        </is>
      </c>
      <c r="E370" s="13" t="n">
        <v>100</v>
      </c>
      <c r="F370" s="13" t="n">
        <v>140</v>
      </c>
      <c r="G370" s="13">
        <f>F370-E370</f>
        <v/>
      </c>
      <c r="H370" s="27" t="n">
        <v>10</v>
      </c>
      <c r="I370" s="13">
        <f>E370*H370</f>
        <v/>
      </c>
      <c r="J370" s="13">
        <f>F370*H370</f>
        <v/>
      </c>
      <c r="K370" s="26">
        <f>IF(H370&lt;=0, "Out of Stock", IF(H370&lt;=5, "Low Stock", "In Stock"))</f>
        <v/>
      </c>
      <c r="L370" s="26" t="inlineStr">
        <is>
          <t>2025-07-13 10:24 AM</t>
        </is>
      </c>
    </row>
    <row r="371">
      <c r="A371" s="28" t="inlineStr">
        <is>
          <t>620514000275</t>
        </is>
      </c>
      <c r="B371" s="15" t="inlineStr">
        <is>
          <t>NATIONAL BIRYANI</t>
        </is>
      </c>
      <c r="C371" s="15" t="inlineStr">
        <is>
          <t>Grains, Atta &amp; Spices</t>
        </is>
      </c>
      <c r="D371" s="15" t="inlineStr">
        <is>
          <t>Grain</t>
        </is>
      </c>
      <c r="E371" s="18" t="n">
        <v>117</v>
      </c>
      <c r="F371" s="18" t="n">
        <v>140</v>
      </c>
      <c r="G371" s="18">
        <f>F371-E371</f>
        <v/>
      </c>
      <c r="H371" s="29" t="n">
        <v>27</v>
      </c>
      <c r="I371" s="18">
        <f>E371*H371</f>
        <v/>
      </c>
      <c r="J371" s="18">
        <f>F371*H371</f>
        <v/>
      </c>
      <c r="K371" s="28">
        <f>IF(H371&lt;=0, "Out of Stock", IF(H371&lt;=5, "Low Stock", "In Stock"))</f>
        <v/>
      </c>
      <c r="L371" s="28" t="inlineStr">
        <is>
          <t>2025-07-13 10:08 AM</t>
        </is>
      </c>
    </row>
    <row r="372">
      <c r="A372" s="26" t="inlineStr">
        <is>
          <t>620514015545</t>
        </is>
      </c>
      <c r="B372" s="10" t="inlineStr">
        <is>
          <t>NATIONAL BOMBAY BIRYANI</t>
        </is>
      </c>
      <c r="C372" s="10" t="inlineStr">
        <is>
          <t>Grains, Atta &amp; Spices</t>
        </is>
      </c>
      <c r="D372" s="10" t="inlineStr">
        <is>
          <t>Grain</t>
        </is>
      </c>
      <c r="E372" s="13" t="n">
        <v>117</v>
      </c>
      <c r="F372" s="13" t="n">
        <v>140</v>
      </c>
      <c r="G372" s="13">
        <f>F372-E372</f>
        <v/>
      </c>
      <c r="H372" s="27" t="n">
        <v>17</v>
      </c>
      <c r="I372" s="13">
        <f>E372*H372</f>
        <v/>
      </c>
      <c r="J372" s="13">
        <f>F372*H372</f>
        <v/>
      </c>
      <c r="K372" s="26">
        <f>IF(H372&lt;=0, "Out of Stock", IF(H372&lt;=5, "Low Stock", "In Stock"))</f>
        <v/>
      </c>
      <c r="L372" s="26" t="inlineStr">
        <is>
          <t>2025-07-13 10:05 AM</t>
        </is>
      </c>
    </row>
    <row r="373">
      <c r="A373" s="28" t="inlineStr">
        <is>
          <t>620514001753</t>
        </is>
      </c>
      <c r="B373" s="15" t="inlineStr">
        <is>
          <t>NATIONAL BROAST</t>
        </is>
      </c>
      <c r="C373" s="15" t="inlineStr">
        <is>
          <t>Grains, Atta &amp; Spices</t>
        </is>
      </c>
      <c r="D373" s="15" t="inlineStr">
        <is>
          <t>Grain</t>
        </is>
      </c>
      <c r="E373" s="18" t="n">
        <v>117</v>
      </c>
      <c r="F373" s="18" t="n">
        <v>140</v>
      </c>
      <c r="G373" s="18">
        <f>F373-E373</f>
        <v/>
      </c>
      <c r="H373" s="29" t="n">
        <v>13</v>
      </c>
      <c r="I373" s="18">
        <f>E373*H373</f>
        <v/>
      </c>
      <c r="J373" s="18">
        <f>F373*H373</f>
        <v/>
      </c>
      <c r="K373" s="28">
        <f>IF(H373&lt;=0, "Out of Stock", IF(H373&lt;=5, "Low Stock", "In Stock"))</f>
        <v/>
      </c>
      <c r="L373" s="28" t="inlineStr">
        <is>
          <t>2025-07-13 10:10 AM</t>
        </is>
      </c>
    </row>
    <row r="374">
      <c r="A374" s="26" t="inlineStr">
        <is>
          <t>620514001036</t>
        </is>
      </c>
      <c r="B374" s="10" t="inlineStr">
        <is>
          <t>NATIONAL CHAAT MASALA</t>
        </is>
      </c>
      <c r="C374" s="10" t="inlineStr">
        <is>
          <t>Grains, Atta &amp; Spices</t>
        </is>
      </c>
      <c r="D374" s="10" t="inlineStr">
        <is>
          <t>Grain</t>
        </is>
      </c>
      <c r="E374" s="13" t="n">
        <v>170</v>
      </c>
      <c r="F374" s="13" t="n">
        <v>190</v>
      </c>
      <c r="G374" s="13">
        <f>F374-E374</f>
        <v/>
      </c>
      <c r="H374" s="27" t="n">
        <v>11</v>
      </c>
      <c r="I374" s="13">
        <f>E374*H374</f>
        <v/>
      </c>
      <c r="J374" s="13">
        <f>F374*H374</f>
        <v/>
      </c>
      <c r="K374" s="26">
        <f>IF(H374&lt;=0, "Out of Stock", IF(H374&lt;=5, "Low Stock", "In Stock"))</f>
        <v/>
      </c>
      <c r="L374" s="26" t="inlineStr">
        <is>
          <t>2025-07-13 10:06 AM</t>
        </is>
      </c>
    </row>
    <row r="375">
      <c r="A375" s="28" t="inlineStr">
        <is>
          <t>620514000862</t>
        </is>
      </c>
      <c r="B375" s="15" t="inlineStr">
        <is>
          <t>NATIONAL CORIANDER POWDER</t>
        </is>
      </c>
      <c r="C375" s="15" t="inlineStr">
        <is>
          <t>Grains, Atta &amp; Spices</t>
        </is>
      </c>
      <c r="D375" s="15" t="inlineStr">
        <is>
          <t>Grain</t>
        </is>
      </c>
      <c r="E375" s="18" t="n">
        <v>170</v>
      </c>
      <c r="F375" s="18" t="n">
        <v>190</v>
      </c>
      <c r="G375" s="18">
        <f>F375-E375</f>
        <v/>
      </c>
      <c r="H375" s="29" t="n">
        <v>25</v>
      </c>
      <c r="I375" s="18">
        <f>E375*H375</f>
        <v/>
      </c>
      <c r="J375" s="18">
        <f>F375*H375</f>
        <v/>
      </c>
      <c r="K375" s="28">
        <f>IF(H375&lt;=0, "Out of Stock", IF(H375&lt;=5, "Low Stock", "In Stock"))</f>
        <v/>
      </c>
      <c r="L375" s="28" t="inlineStr">
        <is>
          <t>2025-07-13 10:20 AM</t>
        </is>
      </c>
    </row>
    <row r="376">
      <c r="A376" s="26" t="inlineStr">
        <is>
          <t>620514000343</t>
        </is>
      </c>
      <c r="B376" s="10" t="inlineStr">
        <is>
          <t>NATIONAL FISH</t>
        </is>
      </c>
      <c r="C376" s="10" t="inlineStr">
        <is>
          <t>Grains, Atta &amp; Spices</t>
        </is>
      </c>
      <c r="D376" s="10" t="inlineStr">
        <is>
          <t>Grain</t>
        </is>
      </c>
      <c r="E376" s="13" t="n">
        <v>110</v>
      </c>
      <c r="F376" s="13" t="n">
        <v>140</v>
      </c>
      <c r="G376" s="13">
        <f>F376-E376</f>
        <v/>
      </c>
      <c r="H376" s="27" t="n">
        <v>11</v>
      </c>
      <c r="I376" s="13">
        <f>E376*H376</f>
        <v/>
      </c>
      <c r="J376" s="13">
        <f>F376*H376</f>
        <v/>
      </c>
      <c r="K376" s="26">
        <f>IF(H376&lt;=0, "Out of Stock", IF(H376&lt;=5, "Low Stock", "In Stock"))</f>
        <v/>
      </c>
      <c r="L376" s="26" t="inlineStr">
        <is>
          <t>2025-07-13 10:12 AM</t>
        </is>
      </c>
    </row>
    <row r="377">
      <c r="A377" s="28" t="inlineStr">
        <is>
          <t>620514000404</t>
        </is>
      </c>
      <c r="B377" s="15" t="inlineStr">
        <is>
          <t>NATIONAL KARAHI GOSHT</t>
        </is>
      </c>
      <c r="C377" s="15" t="inlineStr">
        <is>
          <t>Grains, Atta &amp; Spices</t>
        </is>
      </c>
      <c r="D377" s="15" t="inlineStr">
        <is>
          <t>Grain</t>
        </is>
      </c>
      <c r="E377" s="18" t="n">
        <v>100</v>
      </c>
      <c r="F377" s="18" t="n">
        <v>140</v>
      </c>
      <c r="G377" s="18">
        <f>F377-E377</f>
        <v/>
      </c>
      <c r="H377" s="29" t="n">
        <v>10</v>
      </c>
      <c r="I377" s="18">
        <f>E377*H377</f>
        <v/>
      </c>
      <c r="J377" s="18">
        <f>F377*H377</f>
        <v/>
      </c>
      <c r="K377" s="28">
        <f>IF(H377&lt;=0, "Out of Stock", IF(H377&lt;=5, "Low Stock", "In Stock"))</f>
        <v/>
      </c>
      <c r="L377" s="28" t="inlineStr">
        <is>
          <t>2025-07-13 10:22 AM</t>
        </is>
      </c>
    </row>
    <row r="378">
      <c r="A378" s="26" t="inlineStr">
        <is>
          <t>620514009872</t>
        </is>
      </c>
      <c r="B378" s="10" t="inlineStr">
        <is>
          <t>NATIONAL PULAO</t>
        </is>
      </c>
      <c r="C378" s="10" t="inlineStr">
        <is>
          <t>Grains, Atta &amp; Spices</t>
        </is>
      </c>
      <c r="D378" s="10" t="inlineStr">
        <is>
          <t>Grain</t>
        </is>
      </c>
      <c r="E378" s="13" t="n">
        <v>117</v>
      </c>
      <c r="F378" s="13" t="n">
        <v>140</v>
      </c>
      <c r="G378" s="13">
        <f>F378-E378</f>
        <v/>
      </c>
      <c r="H378" s="27" t="n">
        <v>15</v>
      </c>
      <c r="I378" s="13">
        <f>E378*H378</f>
        <v/>
      </c>
      <c r="J378" s="13">
        <f>F378*H378</f>
        <v/>
      </c>
      <c r="K378" s="26">
        <f>IF(H378&lt;=0, "Out of Stock", IF(H378&lt;=5, "Low Stock", "In Stock"))</f>
        <v/>
      </c>
      <c r="L378" s="26" t="inlineStr">
        <is>
          <t>2025-07-13 10:04 AM</t>
        </is>
      </c>
    </row>
    <row r="379">
      <c r="A379" s="28" t="inlineStr">
        <is>
          <t>620514000565</t>
        </is>
      </c>
      <c r="B379" s="15" t="inlineStr">
        <is>
          <t>NATIONAL QUORMA</t>
        </is>
      </c>
      <c r="C379" s="15" t="inlineStr">
        <is>
          <t>Grains, Atta &amp; Spices</t>
        </is>
      </c>
      <c r="D379" s="15" t="inlineStr">
        <is>
          <t>Grain</t>
        </is>
      </c>
      <c r="E379" s="18" t="n">
        <v>110</v>
      </c>
      <c r="F379" s="18" t="n">
        <v>140</v>
      </c>
      <c r="G379" s="18">
        <f>F379-E379</f>
        <v/>
      </c>
      <c r="H379" s="29" t="n">
        <v>11</v>
      </c>
      <c r="I379" s="18">
        <f>E379*H379</f>
        <v/>
      </c>
      <c r="J379" s="18">
        <f>F379*H379</f>
        <v/>
      </c>
      <c r="K379" s="28">
        <f>IF(H379&lt;=0, "Out of Stock", IF(H379&lt;=5, "Low Stock", "In Stock"))</f>
        <v/>
      </c>
      <c r="L379" s="28" t="inlineStr">
        <is>
          <t>2025-07-13 10:13 AM</t>
        </is>
      </c>
    </row>
    <row r="380">
      <c r="A380" s="26" t="inlineStr">
        <is>
          <t>PROD-20250713-144144-SEMO</t>
        </is>
      </c>
      <c r="B380" s="10" t="inlineStr">
        <is>
          <t>SEMOLINA SOOJI</t>
        </is>
      </c>
      <c r="C380" s="10" t="inlineStr">
        <is>
          <t>Grains, Atta &amp; Spices</t>
        </is>
      </c>
      <c r="D380" s="10" t="inlineStr">
        <is>
          <t>Grain</t>
        </is>
      </c>
      <c r="E380" s="13" t="n">
        <v>110</v>
      </c>
      <c r="F380" s="13" t="n">
        <v>150</v>
      </c>
      <c r="G380" s="13">
        <f>F380-E380</f>
        <v/>
      </c>
      <c r="H380" s="27" t="n">
        <v>39</v>
      </c>
      <c r="I380" s="13">
        <f>E380*H380</f>
        <v/>
      </c>
      <c r="J380" s="13">
        <f>F380*H380</f>
        <v/>
      </c>
      <c r="K380" s="26">
        <f>IF(H380&lt;=0, "Out of Stock", IF(H380&lt;=5, "Low Stock", "In Stock"))</f>
        <v/>
      </c>
      <c r="L380" s="26" t="inlineStr">
        <is>
          <t>2025-07-13 09:43 AM</t>
        </is>
      </c>
    </row>
    <row r="381">
      <c r="A381" s="28" t="inlineStr">
        <is>
          <t>788821150363</t>
        </is>
      </c>
      <c r="B381" s="15" t="inlineStr">
        <is>
          <t>SHAN ACHAR GOSHT</t>
        </is>
      </c>
      <c r="C381" s="15" t="inlineStr">
        <is>
          <t>Grains, Atta &amp; Spices</t>
        </is>
      </c>
      <c r="D381" s="15" t="inlineStr">
        <is>
          <t>Grain</t>
        </is>
      </c>
      <c r="E381" s="18" t="n">
        <v>100</v>
      </c>
      <c r="F381" s="18" t="n">
        <v>140</v>
      </c>
      <c r="G381" s="18">
        <f>F381-E381</f>
        <v/>
      </c>
      <c r="H381" s="29" t="n">
        <v>1</v>
      </c>
      <c r="I381" s="18">
        <f>E381*H381</f>
        <v/>
      </c>
      <c r="J381" s="18">
        <f>F381*H381</f>
        <v/>
      </c>
      <c r="K381" s="28">
        <f>IF(H381&lt;=0, "Out of Stock", IF(H381&lt;=5, "Low Stock", "In Stock"))</f>
        <v/>
      </c>
      <c r="L381" s="28" t="inlineStr">
        <is>
          <t>2025-07-13 10:34 AM</t>
        </is>
      </c>
    </row>
    <row r="382">
      <c r="A382" s="26" t="inlineStr">
        <is>
          <t>788821150905</t>
        </is>
      </c>
      <c r="B382" s="10" t="inlineStr">
        <is>
          <t>SHAN FRIED FISH MASALA</t>
        </is>
      </c>
      <c r="C382" s="10" t="inlineStr">
        <is>
          <t>Grains, Atta &amp; Spices</t>
        </is>
      </c>
      <c r="D382" s="10" t="inlineStr">
        <is>
          <t>Grain</t>
        </is>
      </c>
      <c r="E382" s="13" t="n">
        <v>100</v>
      </c>
      <c r="F382" s="13" t="n">
        <v>140</v>
      </c>
      <c r="G382" s="13">
        <f>F382-E382</f>
        <v/>
      </c>
      <c r="H382" s="27" t="n">
        <v>15</v>
      </c>
      <c r="I382" s="13">
        <f>E382*H382</f>
        <v/>
      </c>
      <c r="J382" s="13">
        <f>F382*H382</f>
        <v/>
      </c>
      <c r="K382" s="26">
        <f>IF(H382&lt;=0, "Out of Stock", IF(H382&lt;=5, "Low Stock", "In Stock"))</f>
        <v/>
      </c>
      <c r="L382" s="26" t="inlineStr">
        <is>
          <t>2025-07-13 10:31 AM</t>
        </is>
      </c>
    </row>
    <row r="383">
      <c r="A383" s="28" t="inlineStr">
        <is>
          <t>788821150936</t>
        </is>
      </c>
      <c r="B383" s="15" t="inlineStr">
        <is>
          <t>SHAN HALEEM MASALA</t>
        </is>
      </c>
      <c r="C383" s="15" t="inlineStr">
        <is>
          <t>Grains, Atta &amp; Spices</t>
        </is>
      </c>
      <c r="D383" s="15" t="inlineStr">
        <is>
          <t>Grain</t>
        </is>
      </c>
      <c r="E383" s="18" t="n">
        <v>100</v>
      </c>
      <c r="F383" s="18" t="n">
        <v>140</v>
      </c>
      <c r="G383" s="18">
        <f>F383-E383</f>
        <v/>
      </c>
      <c r="H383" s="29" t="n">
        <v>8</v>
      </c>
      <c r="I383" s="18">
        <f>E383*H383</f>
        <v/>
      </c>
      <c r="J383" s="18">
        <f>F383*H383</f>
        <v/>
      </c>
      <c r="K383" s="28">
        <f>IF(H383&lt;=0, "Out of Stock", IF(H383&lt;=5, "Low Stock", "In Stock"))</f>
        <v/>
      </c>
      <c r="L383" s="28" t="inlineStr">
        <is>
          <t>2025-07-13 10:32 AM</t>
        </is>
      </c>
    </row>
    <row r="384">
      <c r="A384" s="26" t="inlineStr">
        <is>
          <t>788821150790</t>
        </is>
      </c>
      <c r="B384" s="10" t="inlineStr">
        <is>
          <t>SHAN KARAHI MASALA</t>
        </is>
      </c>
      <c r="C384" s="10" t="inlineStr">
        <is>
          <t>Grains, Atta &amp; Spices</t>
        </is>
      </c>
      <c r="D384" s="10" t="inlineStr">
        <is>
          <t>Grain</t>
        </is>
      </c>
      <c r="E384" s="13" t="n">
        <v>90</v>
      </c>
      <c r="F384" s="13" t="n">
        <v>120</v>
      </c>
      <c r="G384" s="13">
        <f>F384-E384</f>
        <v/>
      </c>
      <c r="H384" s="27" t="n">
        <v>2</v>
      </c>
      <c r="I384" s="13">
        <f>E384*H384</f>
        <v/>
      </c>
      <c r="J384" s="13">
        <f>F384*H384</f>
        <v/>
      </c>
      <c r="K384" s="26">
        <f>IF(H384&lt;=0, "Out of Stock", IF(H384&lt;=5, "Low Stock", "In Stock"))</f>
        <v/>
      </c>
      <c r="L384" s="26" t="inlineStr">
        <is>
          <t>2025-07-13 10:30 AM</t>
        </is>
      </c>
    </row>
    <row r="385">
      <c r="A385" s="28" t="inlineStr">
        <is>
          <t>788821150219</t>
        </is>
      </c>
      <c r="B385" s="15" t="inlineStr">
        <is>
          <t>SHAN SINDHI BIRYANI</t>
        </is>
      </c>
      <c r="C385" s="15" t="inlineStr">
        <is>
          <t>Grains, Atta &amp; Spices</t>
        </is>
      </c>
      <c r="D385" s="15" t="inlineStr">
        <is>
          <t>Grain</t>
        </is>
      </c>
      <c r="E385" s="18" t="n">
        <v>100</v>
      </c>
      <c r="F385" s="18" t="n">
        <v>140</v>
      </c>
      <c r="G385" s="18">
        <f>F385-E385</f>
        <v/>
      </c>
      <c r="H385" s="29" t="n">
        <v>6</v>
      </c>
      <c r="I385" s="18">
        <f>E385*H385</f>
        <v/>
      </c>
      <c r="J385" s="18">
        <f>F385*H385</f>
        <v/>
      </c>
      <c r="K385" s="28">
        <f>IF(H385&lt;=0, "Out of Stock", IF(H385&lt;=5, "Low Stock", "In Stock"))</f>
        <v/>
      </c>
      <c r="L385" s="28" t="inlineStr">
        <is>
          <t>2025-07-13 10:33 AM</t>
        </is>
      </c>
    </row>
    <row r="386">
      <c r="A386" s="26" t="inlineStr">
        <is>
          <t>788821151247</t>
        </is>
      </c>
      <c r="B386" s="10" t="inlineStr">
        <is>
          <t>SHAN TANDOORI MASAL</t>
        </is>
      </c>
      <c r="C386" s="10" t="inlineStr">
        <is>
          <t>Grains, Atta &amp; Spices</t>
        </is>
      </c>
      <c r="D386" s="10" t="inlineStr">
        <is>
          <t>Grain</t>
        </is>
      </c>
      <c r="E386" s="13" t="n">
        <v>90</v>
      </c>
      <c r="F386" s="13" t="n">
        <v>120</v>
      </c>
      <c r="G386" s="13">
        <f>F386-E386</f>
        <v/>
      </c>
      <c r="H386" s="27" t="n">
        <v>1</v>
      </c>
      <c r="I386" s="13">
        <f>E386*H386</f>
        <v/>
      </c>
      <c r="J386" s="13">
        <f>F386*H386</f>
        <v/>
      </c>
      <c r="K386" s="26">
        <f>IF(H386&lt;=0, "Out of Stock", IF(H386&lt;=5, "Low Stock", "In Stock"))</f>
        <v/>
      </c>
      <c r="L386" s="26" t="inlineStr">
        <is>
          <t>2025-07-13 10:28 AM</t>
        </is>
      </c>
    </row>
    <row r="387">
      <c r="A387" s="28" t="inlineStr">
        <is>
          <t>710497227018</t>
        </is>
      </c>
      <c r="B387" s="15" t="inlineStr">
        <is>
          <t>SUPER WHITE ATTA 5KG</t>
        </is>
      </c>
      <c r="C387" s="15" t="inlineStr">
        <is>
          <t>Grains, Atta &amp; Spices</t>
        </is>
      </c>
      <c r="D387" s="15" t="inlineStr">
        <is>
          <t>Grain</t>
        </is>
      </c>
      <c r="E387" s="18" t="n">
        <v>485</v>
      </c>
      <c r="F387" s="18" t="n">
        <v>530</v>
      </c>
      <c r="G387" s="18">
        <f>F387-E387</f>
        <v/>
      </c>
      <c r="H387" s="29" t="n">
        <v>2</v>
      </c>
      <c r="I387" s="18">
        <f>E387*H387</f>
        <v/>
      </c>
      <c r="J387" s="18">
        <f>F387*H387</f>
        <v/>
      </c>
      <c r="K387" s="28">
        <f>IF(H387&lt;=0, "Out of Stock", IF(H387&lt;=5, "Low Stock", "In Stock"))</f>
        <v/>
      </c>
      <c r="L387" s="28" t="inlineStr">
        <is>
          <t>2025-07-13 09:27 AM</t>
        </is>
      </c>
    </row>
    <row r="388">
      <c r="A388" s="26" t="inlineStr">
        <is>
          <t>5345274262552</t>
        </is>
      </c>
      <c r="B388" s="10" t="inlineStr">
        <is>
          <t>KEHKASHAN BLACK MEHNDI</t>
        </is>
      </c>
      <c r="C388" s="10" t="inlineStr">
        <is>
          <t>Hair Care &amp; Colour</t>
        </is>
      </c>
      <c r="D388" s="10" t="inlineStr">
        <is>
          <t>Hair Colour</t>
        </is>
      </c>
      <c r="E388" s="13" t="n">
        <v>22</v>
      </c>
      <c r="F388" s="13" t="n">
        <v>40</v>
      </c>
      <c r="G388" s="13">
        <f>F388-E388</f>
        <v/>
      </c>
      <c r="H388" s="27" t="n">
        <v>24</v>
      </c>
      <c r="I388" s="13">
        <f>E388*H388</f>
        <v/>
      </c>
      <c r="J388" s="13">
        <f>F388*H388</f>
        <v/>
      </c>
      <c r="K388" s="26">
        <f>IF(H388&lt;=0, "Out of Stock", IF(H388&lt;=5, "Low Stock", "In Stock"))</f>
        <v/>
      </c>
      <c r="L388" s="26" t="inlineStr">
        <is>
          <t>2025-07-14 03:42 PM</t>
        </is>
      </c>
    </row>
    <row r="389">
      <c r="A389" s="28" t="inlineStr">
        <is>
          <t>5345274262767</t>
        </is>
      </c>
      <c r="B389" s="15" t="inlineStr">
        <is>
          <t>KEHKASHAN BROWN MEHNDI</t>
        </is>
      </c>
      <c r="C389" s="15" t="inlineStr">
        <is>
          <t>Hair Care &amp; Colour</t>
        </is>
      </c>
      <c r="D389" s="15" t="inlineStr">
        <is>
          <t>Hair Colour</t>
        </is>
      </c>
      <c r="E389" s="18" t="n">
        <v>22</v>
      </c>
      <c r="F389" s="18" t="n">
        <v>40</v>
      </c>
      <c r="G389" s="18">
        <f>F389-E389</f>
        <v/>
      </c>
      <c r="H389" s="29" t="n">
        <v>24</v>
      </c>
      <c r="I389" s="18">
        <f>E389*H389</f>
        <v/>
      </c>
      <c r="J389" s="18">
        <f>F389*H389</f>
        <v/>
      </c>
      <c r="K389" s="28">
        <f>IF(H389&lt;=0, "Out of Stock", IF(H389&lt;=5, "Low Stock", "In Stock"))</f>
        <v/>
      </c>
      <c r="L389" s="28" t="inlineStr">
        <is>
          <t>2025-07-14 03:44 PM</t>
        </is>
      </c>
    </row>
    <row r="390">
      <c r="A390" s="26" t="inlineStr">
        <is>
          <t>8581654125483</t>
        </is>
      </c>
      <c r="B390" s="10" t="inlineStr">
        <is>
          <t>Natural Black Hair Darkening Shampoo</t>
        </is>
      </c>
      <c r="C390" s="10" t="inlineStr">
        <is>
          <t>Hair Care &amp; Colour</t>
        </is>
      </c>
      <c r="D390" s="10" t="inlineStr">
        <is>
          <t>Hair Colour</t>
        </is>
      </c>
      <c r="E390" s="13" t="n">
        <v>45</v>
      </c>
      <c r="F390" s="13" t="n">
        <v>60</v>
      </c>
      <c r="G390" s="13">
        <f>F390-E390</f>
        <v/>
      </c>
      <c r="H390" s="27" t="n">
        <v>46</v>
      </c>
      <c r="I390" s="13">
        <f>E390*H390</f>
        <v/>
      </c>
      <c r="J390" s="13">
        <f>F390*H390</f>
        <v/>
      </c>
      <c r="K390" s="26">
        <f>IF(H390&lt;=0, "Out of Stock", IF(H390&lt;=5, "Low Stock", "In Stock"))</f>
        <v/>
      </c>
      <c r="L390" s="26" t="inlineStr">
        <is>
          <t>2025-07-12 07:21 PM</t>
        </is>
      </c>
    </row>
    <row r="391">
      <c r="A391" s="28" t="inlineStr">
        <is>
          <t>858167000049</t>
        </is>
      </c>
      <c r="B391" s="15" t="inlineStr">
        <is>
          <t>Olivia Hair Colour</t>
        </is>
      </c>
      <c r="C391" s="15" t="inlineStr">
        <is>
          <t>Hair Care &amp; Colour</t>
        </is>
      </c>
      <c r="D391" s="15" t="inlineStr">
        <is>
          <t>Hair Colour</t>
        </is>
      </c>
      <c r="E391" s="18" t="n">
        <v>225</v>
      </c>
      <c r="F391" s="18" t="n">
        <v>300</v>
      </c>
      <c r="G391" s="18">
        <f>F391-E391</f>
        <v/>
      </c>
      <c r="H391" s="29" t="n">
        <v>38</v>
      </c>
      <c r="I391" s="18">
        <f>E391*H391</f>
        <v/>
      </c>
      <c r="J391" s="18">
        <f>F391*H391</f>
        <v/>
      </c>
      <c r="K391" s="28">
        <f>IF(H391&lt;=0, "Out of Stock", IF(H391&lt;=5, "Low Stock", "In Stock"))</f>
        <v/>
      </c>
      <c r="L391" s="28" t="inlineStr">
        <is>
          <t>2025-07-12 06:01 PM</t>
        </is>
      </c>
    </row>
    <row r="392">
      <c r="A392" s="26" t="inlineStr">
        <is>
          <t>6001106209803</t>
        </is>
      </c>
      <c r="B392" s="10" t="inlineStr">
        <is>
          <t>VEET 40GM</t>
        </is>
      </c>
      <c r="C392" s="10" t="inlineStr">
        <is>
          <t>Hair Remover</t>
        </is>
      </c>
      <c r="D392" s="10" t="inlineStr">
        <is>
          <t>Hair Remover</t>
        </is>
      </c>
      <c r="E392" s="13" t="n">
        <v>198</v>
      </c>
      <c r="F392" s="13" t="n">
        <v>250</v>
      </c>
      <c r="G392" s="13">
        <f>F392-E392</f>
        <v/>
      </c>
      <c r="H392" s="27" t="n">
        <v>5</v>
      </c>
      <c r="I392" s="13">
        <f>E392*H392</f>
        <v/>
      </c>
      <c r="J392" s="13">
        <f>F392*H392</f>
        <v/>
      </c>
      <c r="K392" s="26">
        <f>IF(H392&lt;=0, "Out of Stock", IF(H392&lt;=5, "Low Stock", "In Stock"))</f>
        <v/>
      </c>
      <c r="L392" s="26" t="inlineStr">
        <is>
          <t>2025-07-15 09:14 AM</t>
        </is>
      </c>
    </row>
    <row r="393">
      <c r="A393" s="28" t="inlineStr">
        <is>
          <t>6001106209797</t>
        </is>
      </c>
      <c r="B393" s="15" t="inlineStr">
        <is>
          <t>VEET 80GM</t>
        </is>
      </c>
      <c r="C393" s="15" t="inlineStr">
        <is>
          <t>Hairremover</t>
        </is>
      </c>
      <c r="D393" s="15" t="inlineStr">
        <is>
          <t>Hairremover</t>
        </is>
      </c>
      <c r="E393" s="18" t="n">
        <v>410</v>
      </c>
      <c r="F393" s="18" t="n">
        <v>495</v>
      </c>
      <c r="G393" s="18">
        <f>F393-E393</f>
        <v/>
      </c>
      <c r="H393" s="29" t="n">
        <v>4</v>
      </c>
      <c r="I393" s="18">
        <f>E393*H393</f>
        <v/>
      </c>
      <c r="J393" s="18">
        <f>F393*H393</f>
        <v/>
      </c>
      <c r="K393" s="28">
        <f>IF(H393&lt;=0, "Out of Stock", IF(H393&lt;=5, "Low Stock", "In Stock"))</f>
        <v/>
      </c>
      <c r="L393" s="28" t="inlineStr">
        <is>
          <t>2025-07-15 09:15 AM</t>
        </is>
      </c>
    </row>
    <row r="394">
      <c r="A394" s="26" t="inlineStr">
        <is>
          <t>8964002642861</t>
        </is>
      </c>
      <c r="B394" s="10" t="inlineStr">
        <is>
          <t>CYCLON HAND WASH</t>
        </is>
      </c>
      <c r="C394" s="10" t="inlineStr">
        <is>
          <t>Hand Wash</t>
        </is>
      </c>
      <c r="D394" s="10" t="inlineStr">
        <is>
          <t>Hand Wash</t>
        </is>
      </c>
      <c r="E394" s="13" t="n">
        <v>240</v>
      </c>
      <c r="F394" s="13" t="n">
        <v>280</v>
      </c>
      <c r="G394" s="13">
        <f>F394-E394</f>
        <v/>
      </c>
      <c r="H394" s="27" t="n">
        <v>1</v>
      </c>
      <c r="I394" s="13">
        <f>E394*H394</f>
        <v/>
      </c>
      <c r="J394" s="13">
        <f>F394*H394</f>
        <v/>
      </c>
      <c r="K394" s="26">
        <f>IF(H394&lt;=0, "Out of Stock", IF(H394&lt;=5, "Low Stock", "In Stock"))</f>
        <v/>
      </c>
      <c r="L394" s="26" t="inlineStr">
        <is>
          <t>2025-07-14 04:13 PM</t>
        </is>
      </c>
    </row>
    <row r="395">
      <c r="A395" s="28" t="inlineStr">
        <is>
          <t>5164568911617</t>
        </is>
      </c>
      <c r="B395" s="15" t="inlineStr">
        <is>
          <t>EGON HAND WASH</t>
        </is>
      </c>
      <c r="C395" s="15" t="inlineStr">
        <is>
          <t>Hand Wash</t>
        </is>
      </c>
      <c r="D395" s="15" t="inlineStr">
        <is>
          <t>Hand Wash</t>
        </is>
      </c>
      <c r="E395" s="18" t="n">
        <v>240</v>
      </c>
      <c r="F395" s="18" t="n">
        <v>350</v>
      </c>
      <c r="G395" s="18">
        <f>F395-E395</f>
        <v/>
      </c>
      <c r="H395" s="29" t="n">
        <v>5</v>
      </c>
      <c r="I395" s="18">
        <f>E395*H395</f>
        <v/>
      </c>
      <c r="J395" s="18">
        <f>F395*H395</f>
        <v/>
      </c>
      <c r="K395" s="28">
        <f>IF(H395&lt;=0, "Out of Stock", IF(H395&lt;=5, "Low Stock", "In Stock"))</f>
        <v/>
      </c>
      <c r="L395" s="28" t="inlineStr">
        <is>
          <t>2025-07-14 04:11 PM</t>
        </is>
      </c>
    </row>
    <row r="396">
      <c r="A396" s="26" t="inlineStr">
        <is>
          <t>8966601474447</t>
        </is>
      </c>
      <c r="B396" s="10" t="inlineStr">
        <is>
          <t>FRESCO HAND WASH</t>
        </is>
      </c>
      <c r="C396" s="10" t="inlineStr">
        <is>
          <t>Hand Wash</t>
        </is>
      </c>
      <c r="D396" s="10" t="inlineStr">
        <is>
          <t>Hand Wash</t>
        </is>
      </c>
      <c r="E396" s="13" t="n">
        <v>250</v>
      </c>
      <c r="F396" s="13" t="n">
        <v>300</v>
      </c>
      <c r="G396" s="13">
        <f>F396-E396</f>
        <v/>
      </c>
      <c r="H396" s="27" t="n">
        <v>3</v>
      </c>
      <c r="I396" s="13">
        <f>E396*H396</f>
        <v/>
      </c>
      <c r="J396" s="13">
        <f>F396*H396</f>
        <v/>
      </c>
      <c r="K396" s="26">
        <f>IF(H396&lt;=0, "Out of Stock", IF(H396&lt;=5, "Low Stock", "In Stock"))</f>
        <v/>
      </c>
      <c r="L396" s="26" t="inlineStr">
        <is>
          <t>2025-07-14 03:26 PM</t>
        </is>
      </c>
    </row>
    <row r="397">
      <c r="A397" s="28" t="inlineStr">
        <is>
          <t>643781981306</t>
        </is>
      </c>
      <c r="B397" s="15" t="inlineStr">
        <is>
          <t>FRESCO HAND WASH CLASSIC CARE</t>
        </is>
      </c>
      <c r="C397" s="15" t="inlineStr">
        <is>
          <t>Hand Wash</t>
        </is>
      </c>
      <c r="D397" s="15" t="inlineStr">
        <is>
          <t>Hand Wash</t>
        </is>
      </c>
      <c r="E397" s="18" t="n">
        <v>250</v>
      </c>
      <c r="F397" s="18" t="n">
        <v>300</v>
      </c>
      <c r="G397" s="18">
        <f>F397-E397</f>
        <v/>
      </c>
      <c r="H397" s="29" t="n">
        <v>3</v>
      </c>
      <c r="I397" s="18">
        <f>E397*H397</f>
        <v/>
      </c>
      <c r="J397" s="18">
        <f>F397*H397</f>
        <v/>
      </c>
      <c r="K397" s="28">
        <f>IF(H397&lt;=0, "Out of Stock", IF(H397&lt;=5, "Low Stock", "In Stock"))</f>
        <v/>
      </c>
      <c r="L397" s="28" t="inlineStr">
        <is>
          <t>2025-07-14 03:27 PM</t>
        </is>
      </c>
    </row>
    <row r="398">
      <c r="A398" s="26" t="inlineStr">
        <is>
          <t>8961014248548</t>
        </is>
      </c>
      <c r="B398" s="10" t="inlineStr">
        <is>
          <t>LIFEBUOY HAND WASH</t>
        </is>
      </c>
      <c r="C398" s="10" t="inlineStr">
        <is>
          <t>Hand Wash</t>
        </is>
      </c>
      <c r="D398" s="10" t="inlineStr">
        <is>
          <t>Hand Wash</t>
        </is>
      </c>
      <c r="E398" s="13" t="n">
        <v>225</v>
      </c>
      <c r="F398" s="13" t="n">
        <v>250</v>
      </c>
      <c r="G398" s="13">
        <f>F398-E398</f>
        <v/>
      </c>
      <c r="H398" s="27" t="n">
        <v>11</v>
      </c>
      <c r="I398" s="13">
        <f>E398*H398</f>
        <v/>
      </c>
      <c r="J398" s="13">
        <f>F398*H398</f>
        <v/>
      </c>
      <c r="K398" s="26">
        <f>IF(H398&lt;=0, "Out of Stock", IF(H398&lt;=5, "Low Stock", "In Stock"))</f>
        <v/>
      </c>
      <c r="L398" s="26" t="inlineStr">
        <is>
          <t>2025-07-15 11:37 AM</t>
        </is>
      </c>
    </row>
    <row r="399">
      <c r="A399" s="28" t="inlineStr">
        <is>
          <t>8964002932184</t>
        </is>
      </c>
      <c r="B399" s="15" t="inlineStr">
        <is>
          <t>PANDA HAND WAASH ROSE</t>
        </is>
      </c>
      <c r="C399" s="15" t="inlineStr">
        <is>
          <t>Hand Wash</t>
        </is>
      </c>
      <c r="D399" s="15" t="inlineStr">
        <is>
          <t>Hand Wash</t>
        </is>
      </c>
      <c r="E399" s="18" t="n">
        <v>240</v>
      </c>
      <c r="F399" s="18" t="n">
        <v>280</v>
      </c>
      <c r="G399" s="18">
        <f>F399-E399</f>
        <v/>
      </c>
      <c r="H399" s="29" t="n">
        <v>1</v>
      </c>
      <c r="I399" s="18">
        <f>E399*H399</f>
        <v/>
      </c>
      <c r="J399" s="18">
        <f>F399*H399</f>
        <v/>
      </c>
      <c r="K399" s="28">
        <f>IF(H399&lt;=0, "Out of Stock", IF(H399&lt;=5, "Low Stock", "In Stock"))</f>
        <v/>
      </c>
      <c r="L399" s="28" t="inlineStr">
        <is>
          <t>2025-07-14 04:33 PM</t>
        </is>
      </c>
    </row>
    <row r="400">
      <c r="A400" s="26" t="inlineStr">
        <is>
          <t>8964002932191</t>
        </is>
      </c>
      <c r="B400" s="10" t="inlineStr">
        <is>
          <t>PANDA HAND WASH</t>
        </is>
      </c>
      <c r="C400" s="10" t="inlineStr">
        <is>
          <t>Hand Wash</t>
        </is>
      </c>
      <c r="D400" s="10" t="inlineStr">
        <is>
          <t>Hand Wash</t>
        </is>
      </c>
      <c r="E400" s="13" t="n">
        <v>240</v>
      </c>
      <c r="F400" s="13" t="n">
        <v>280</v>
      </c>
      <c r="G400" s="13">
        <f>F400-E400</f>
        <v/>
      </c>
      <c r="H400" s="27" t="n">
        <v>1</v>
      </c>
      <c r="I400" s="13">
        <f>E400*H400</f>
        <v/>
      </c>
      <c r="J400" s="13">
        <f>F400*H400</f>
        <v/>
      </c>
      <c r="K400" s="26">
        <f>IF(H400&lt;=0, "Out of Stock", IF(H400&lt;=5, "Low Stock", "In Stock"))</f>
        <v/>
      </c>
      <c r="L400" s="26" t="inlineStr">
        <is>
          <t>2025-07-14 04:10 PM</t>
        </is>
      </c>
    </row>
    <row r="401">
      <c r="A401" s="28" t="inlineStr">
        <is>
          <t>PROD-20250713-HANGER</t>
        </is>
      </c>
      <c r="B401" s="15" t="inlineStr">
        <is>
          <t>HANGER STEEL</t>
        </is>
      </c>
      <c r="C401" s="15" t="inlineStr">
        <is>
          <t>Hanger</t>
        </is>
      </c>
      <c r="D401" s="15" t="inlineStr">
        <is>
          <t>Hanger</t>
        </is>
      </c>
      <c r="E401" s="18" t="n">
        <v>400</v>
      </c>
      <c r="F401" s="18" t="n">
        <v>600</v>
      </c>
      <c r="G401" s="18">
        <f>F401-E401</f>
        <v/>
      </c>
      <c r="H401" s="29" t="n">
        <v>3</v>
      </c>
      <c r="I401" s="18">
        <f>E401*H401</f>
        <v/>
      </c>
      <c r="J401" s="18">
        <f>F401*H401</f>
        <v/>
      </c>
      <c r="K401" s="28">
        <f>IF(H401&lt;=0, "Out of Stock", IF(H401&lt;=5, "Low Stock", "In Stock"))</f>
        <v/>
      </c>
      <c r="L401" s="28" t="inlineStr">
        <is>
          <t>2025-07-13 04:12 PM</t>
        </is>
      </c>
    </row>
    <row r="402">
      <c r="A402" s="26" t="inlineStr">
        <is>
          <t>6260409600346</t>
        </is>
      </c>
      <c r="B402" s="10" t="inlineStr">
        <is>
          <t>HONEY 200GR</t>
        </is>
      </c>
      <c r="C402" s="10" t="inlineStr">
        <is>
          <t>Honey</t>
        </is>
      </c>
      <c r="D402" s="10" t="inlineStr">
        <is>
          <t>Honey</t>
        </is>
      </c>
      <c r="E402" s="13" t="n">
        <v>325</v>
      </c>
      <c r="F402" s="13" t="n">
        <v>380</v>
      </c>
      <c r="G402" s="13">
        <f>F402-E402</f>
        <v/>
      </c>
      <c r="H402" s="27" t="n">
        <v>25</v>
      </c>
      <c r="I402" s="13">
        <f>E402*H402</f>
        <v/>
      </c>
      <c r="J402" s="13">
        <f>F402*H402</f>
        <v/>
      </c>
      <c r="K402" s="26">
        <f>IF(H402&lt;=0, "Out of Stock", IF(H402&lt;=5, "Low Stock", "In Stock"))</f>
        <v/>
      </c>
      <c r="L402" s="26" t="inlineStr">
        <is>
          <t>2025-07-17 02:11 PM</t>
        </is>
      </c>
    </row>
    <row r="403">
      <c r="A403" s="28" t="inlineStr">
        <is>
          <t>8961014034592</t>
        </is>
      </c>
      <c r="B403" s="15" t="inlineStr">
        <is>
          <t>BIG SLICE KING FULFA</t>
        </is>
      </c>
      <c r="C403" s="15" t="inlineStr">
        <is>
          <t>Ice Cream</t>
        </is>
      </c>
      <c r="D403" s="15" t="inlineStr">
        <is>
          <t>Ice Cream</t>
        </is>
      </c>
      <c r="E403" s="18" t="n">
        <v>69</v>
      </c>
      <c r="F403" s="18" t="n">
        <v>80</v>
      </c>
      <c r="G403" s="18">
        <f>F403-E403</f>
        <v/>
      </c>
      <c r="H403" s="29" t="n">
        <v>6</v>
      </c>
      <c r="I403" s="18">
        <f>E403*H403</f>
        <v/>
      </c>
      <c r="J403" s="18">
        <f>F403*H403</f>
        <v/>
      </c>
      <c r="K403" s="28">
        <f>IF(H403&lt;=0, "Out of Stock", IF(H403&lt;=5, "Low Stock", "In Stock"))</f>
        <v/>
      </c>
      <c r="L403" s="28" t="inlineStr">
        <is>
          <t>2025-07-16 01:54 PM</t>
        </is>
      </c>
    </row>
    <row r="404">
      <c r="A404" s="26" t="inlineStr">
        <is>
          <t>8961014018486</t>
        </is>
      </c>
      <c r="B404" s="10" t="inlineStr">
        <is>
          <t>CHOC BAR</t>
        </is>
      </c>
      <c r="C404" s="10" t="inlineStr">
        <is>
          <t>Ice Cream</t>
        </is>
      </c>
      <c r="D404" s="10" t="inlineStr">
        <is>
          <t>Ice Cream</t>
        </is>
      </c>
      <c r="E404" s="13" t="n">
        <v>42.5</v>
      </c>
      <c r="F404" s="13" t="n">
        <v>50</v>
      </c>
      <c r="G404" s="13">
        <f>F404-E404</f>
        <v/>
      </c>
      <c r="H404" s="27" t="n">
        <v>74</v>
      </c>
      <c r="I404" s="13">
        <f>E404*H404</f>
        <v/>
      </c>
      <c r="J404" s="13">
        <f>F404*H404</f>
        <v/>
      </c>
      <c r="K404" s="26">
        <f>IF(H404&lt;=0, "Out of Stock", IF(H404&lt;=5, "Low Stock", "In Stock"))</f>
        <v/>
      </c>
      <c r="L404" s="26" t="inlineStr">
        <is>
          <t>2025-07-16 02:17 PM</t>
        </is>
      </c>
    </row>
    <row r="405">
      <c r="A405" s="28" t="inlineStr">
        <is>
          <t>8961014033755</t>
        </is>
      </c>
      <c r="B405" s="15" t="inlineStr">
        <is>
          <t>CHUNSSA MANGO CUP</t>
        </is>
      </c>
      <c r="C405" s="15" t="inlineStr">
        <is>
          <t>Ice Cream</t>
        </is>
      </c>
      <c r="D405" s="15" t="inlineStr">
        <is>
          <t>Ice Cream</t>
        </is>
      </c>
      <c r="E405" s="18" t="n">
        <v>67</v>
      </c>
      <c r="F405" s="18" t="n">
        <v>80</v>
      </c>
      <c r="G405" s="18">
        <f>F405-E405</f>
        <v/>
      </c>
      <c r="H405" s="29" t="n">
        <v>3</v>
      </c>
      <c r="I405" s="18">
        <f>E405*H405</f>
        <v/>
      </c>
      <c r="J405" s="18">
        <f>F405*H405</f>
        <v/>
      </c>
      <c r="K405" s="28">
        <f>IF(H405&lt;=0, "Out of Stock", IF(H405&lt;=5, "Low Stock", "In Stock"))</f>
        <v/>
      </c>
      <c r="L405" s="28" t="inlineStr">
        <is>
          <t>2025-07-16 02:04 PM</t>
        </is>
      </c>
    </row>
    <row r="406">
      <c r="A406" s="26" t="inlineStr">
        <is>
          <t>8961014033465</t>
        </is>
      </c>
      <c r="B406" s="10" t="inlineStr">
        <is>
          <t>CORNETO COOKIES</t>
        </is>
      </c>
      <c r="C406" s="10" t="inlineStr">
        <is>
          <t>Ice Cream</t>
        </is>
      </c>
      <c r="D406" s="10" t="inlineStr">
        <is>
          <t>Ice Cream</t>
        </is>
      </c>
      <c r="E406" s="13" t="n">
        <v>117.18</v>
      </c>
      <c r="F406" s="13" t="n">
        <v>140</v>
      </c>
      <c r="G406" s="13">
        <f>F406-E406</f>
        <v/>
      </c>
      <c r="H406" s="27" t="n">
        <v>21</v>
      </c>
      <c r="I406" s="13">
        <f>E406*H406</f>
        <v/>
      </c>
      <c r="J406" s="13">
        <f>F406*H406</f>
        <v/>
      </c>
      <c r="K406" s="26">
        <f>IF(H406&lt;=0, "Out of Stock", IF(H406&lt;=5, "Low Stock", "In Stock"))</f>
        <v/>
      </c>
      <c r="L406" s="26" t="inlineStr">
        <is>
          <t>2025-07-16 02:22 PM</t>
        </is>
      </c>
    </row>
    <row r="407">
      <c r="A407" s="28" t="inlineStr">
        <is>
          <t>8961014034271</t>
        </is>
      </c>
      <c r="B407" s="15" t="inlineStr">
        <is>
          <t>CORNETO FLIRTY BERRY</t>
        </is>
      </c>
      <c r="C407" s="15" t="inlineStr">
        <is>
          <t>Ice Cream</t>
        </is>
      </c>
      <c r="D407" s="15" t="inlineStr">
        <is>
          <t>Ice Cream</t>
        </is>
      </c>
      <c r="E407" s="18" t="n">
        <v>120</v>
      </c>
      <c r="F407" s="18" t="n">
        <v>140</v>
      </c>
      <c r="G407" s="18">
        <f>F407-E407</f>
        <v/>
      </c>
      <c r="H407" s="29" t="n">
        <v>2</v>
      </c>
      <c r="I407" s="18">
        <f>E407*H407</f>
        <v/>
      </c>
      <c r="J407" s="18">
        <f>F407*H407</f>
        <v/>
      </c>
      <c r="K407" s="28">
        <f>IF(H407&lt;=0, "Out of Stock", IF(H407&lt;=5, "Low Stock", "In Stock"))</f>
        <v/>
      </c>
      <c r="L407" s="28" t="inlineStr">
        <is>
          <t>2025-07-16 02:21 PM</t>
        </is>
      </c>
    </row>
    <row r="408">
      <c r="A408" s="26" t="inlineStr">
        <is>
          <t>8961014032512</t>
        </is>
      </c>
      <c r="B408" s="10" t="inlineStr">
        <is>
          <t>CORNETTO CLASSICO</t>
        </is>
      </c>
      <c r="C408" s="10" t="inlineStr">
        <is>
          <t>Ice Cream</t>
        </is>
      </c>
      <c r="D408" s="10" t="inlineStr">
        <is>
          <t>Ice Cream</t>
        </is>
      </c>
      <c r="E408" s="13" t="n">
        <v>117</v>
      </c>
      <c r="F408" s="13" t="n">
        <v>140</v>
      </c>
      <c r="G408" s="13">
        <f>F408-E408</f>
        <v/>
      </c>
      <c r="H408" s="27" t="n">
        <v>19</v>
      </c>
      <c r="I408" s="13">
        <f>E408*H408</f>
        <v/>
      </c>
      <c r="J408" s="13">
        <f>F408*H408</f>
        <v/>
      </c>
      <c r="K408" s="26">
        <f>IF(H408&lt;=0, "Out of Stock", IF(H408&lt;=5, "Low Stock", "In Stock"))</f>
        <v/>
      </c>
      <c r="L408" s="26" t="inlineStr">
        <is>
          <t>2025-07-31 12:37 PM</t>
        </is>
      </c>
    </row>
    <row r="409">
      <c r="A409" s="28" t="inlineStr">
        <is>
          <t>8961014033458</t>
        </is>
      </c>
      <c r="B409" s="15" t="inlineStr">
        <is>
          <t>CORNETTO DOUBLE CHOCLATE</t>
        </is>
      </c>
      <c r="C409" s="15" t="inlineStr">
        <is>
          <t>Ice Cream</t>
        </is>
      </c>
      <c r="D409" s="15" t="inlineStr">
        <is>
          <t>Ice Cream</t>
        </is>
      </c>
      <c r="E409" s="18" t="n">
        <v>116</v>
      </c>
      <c r="F409" s="18" t="n">
        <v>140</v>
      </c>
      <c r="G409" s="18">
        <f>F409-E409</f>
        <v/>
      </c>
      <c r="H409" s="29" t="n">
        <v>6</v>
      </c>
      <c r="I409" s="18">
        <f>E409*H409</f>
        <v/>
      </c>
      <c r="J409" s="18">
        <f>F409*H409</f>
        <v/>
      </c>
      <c r="K409" s="28">
        <f>IF(H409&lt;=0, "Out of Stock", IF(H409&lt;=5, "Low Stock", "In Stock"))</f>
        <v/>
      </c>
      <c r="L409" s="28" t="inlineStr">
        <is>
          <t>2025-07-16 02:24 PM</t>
        </is>
      </c>
    </row>
    <row r="410">
      <c r="A410" s="26" t="inlineStr">
        <is>
          <t>8961014034608</t>
        </is>
      </c>
      <c r="B410" s="10" t="inlineStr">
        <is>
          <t>DOUBLE TROUBLE</t>
        </is>
      </c>
      <c r="C410" s="10" t="inlineStr">
        <is>
          <t>Ice Cream</t>
        </is>
      </c>
      <c r="D410" s="10" t="inlineStr">
        <is>
          <t>Ice Cream</t>
        </is>
      </c>
      <c r="E410" s="13" t="n">
        <v>17</v>
      </c>
      <c r="F410" s="13" t="n">
        <v>20</v>
      </c>
      <c r="G410" s="13">
        <f>F410-E410</f>
        <v/>
      </c>
      <c r="H410" s="27" t="n">
        <v>16</v>
      </c>
      <c r="I410" s="13">
        <f>E410*H410</f>
        <v/>
      </c>
      <c r="J410" s="13">
        <f>F410*H410</f>
        <v/>
      </c>
      <c r="K410" s="26">
        <f>IF(H410&lt;=0, "Out of Stock", IF(H410&lt;=5, "Low Stock", "In Stock"))</f>
        <v/>
      </c>
      <c r="L410" s="26" t="inlineStr">
        <is>
          <t>2025-07-16 01:31 PM</t>
        </is>
      </c>
    </row>
    <row r="411">
      <c r="A411" s="28" t="inlineStr">
        <is>
          <t>8961014034028</t>
        </is>
      </c>
      <c r="B411" s="15" t="inlineStr">
        <is>
          <t>FEAST CHOCLATE</t>
        </is>
      </c>
      <c r="C411" s="15" t="inlineStr">
        <is>
          <t>Ice Cream</t>
        </is>
      </c>
      <c r="D411" s="15" t="inlineStr">
        <is>
          <t>Ice Cream</t>
        </is>
      </c>
      <c r="E411" s="18" t="n">
        <v>83.5</v>
      </c>
      <c r="F411" s="18" t="n">
        <v>100</v>
      </c>
      <c r="G411" s="18">
        <f>F411-E411</f>
        <v/>
      </c>
      <c r="H411" s="29" t="n">
        <v>20</v>
      </c>
      <c r="I411" s="18">
        <f>E411*H411</f>
        <v/>
      </c>
      <c r="J411" s="18">
        <f>F411*H411</f>
        <v/>
      </c>
      <c r="K411" s="28">
        <f>IF(H411&lt;=0, "Out of Stock", IF(H411&lt;=5, "Low Stock", "In Stock"))</f>
        <v/>
      </c>
      <c r="L411" s="28" t="inlineStr">
        <is>
          <t>2025-07-16 02:12 PM</t>
        </is>
      </c>
    </row>
    <row r="412">
      <c r="A412" s="26" t="inlineStr">
        <is>
          <t>8961014017748</t>
        </is>
      </c>
      <c r="B412" s="10" t="inlineStr">
        <is>
          <t>JET SPORT WALL,S</t>
        </is>
      </c>
      <c r="C412" s="10" t="inlineStr">
        <is>
          <t>Ice Cream</t>
        </is>
      </c>
      <c r="D412" s="10" t="inlineStr">
        <is>
          <t>Ice Cream</t>
        </is>
      </c>
      <c r="E412" s="13" t="n">
        <v>25.29</v>
      </c>
      <c r="F412" s="13" t="n">
        <v>30</v>
      </c>
      <c r="G412" s="13">
        <f>F412-E412</f>
        <v/>
      </c>
      <c r="H412" s="27" t="n">
        <v>69</v>
      </c>
      <c r="I412" s="13">
        <f>E412*H412</f>
        <v/>
      </c>
      <c r="J412" s="13">
        <f>F412*H412</f>
        <v/>
      </c>
      <c r="K412" s="26">
        <f>IF(H412&lt;=0, "Out of Stock", IF(H412&lt;=5, "Low Stock", "In Stock"))</f>
        <v/>
      </c>
      <c r="L412" s="26" t="inlineStr">
        <is>
          <t>2025-07-30 02:22 PM</t>
        </is>
      </c>
    </row>
    <row r="413">
      <c r="A413" s="28" t="inlineStr">
        <is>
          <t>8961014037418</t>
        </is>
      </c>
      <c r="B413" s="15" t="inlineStr">
        <is>
          <t>KING KULFA FAMILY</t>
        </is>
      </c>
      <c r="C413" s="15" t="inlineStr">
        <is>
          <t>Ice Cream</t>
        </is>
      </c>
      <c r="D413" s="15" t="inlineStr">
        <is>
          <t>Ice Cream</t>
        </is>
      </c>
      <c r="E413" s="18" t="n">
        <v>419</v>
      </c>
      <c r="F413" s="18" t="n">
        <v>499</v>
      </c>
      <c r="G413" s="18">
        <f>F413-E413</f>
        <v/>
      </c>
      <c r="H413" s="29" t="n">
        <v>5</v>
      </c>
      <c r="I413" s="18">
        <f>E413*H413</f>
        <v/>
      </c>
      <c r="J413" s="18">
        <f>F413*H413</f>
        <v/>
      </c>
      <c r="K413" s="28">
        <f>IF(H413&lt;=0, "Out of Stock", IF(H413&lt;=5, "Low Stock", "In Stock"))</f>
        <v/>
      </c>
      <c r="L413" s="28" t="inlineStr">
        <is>
          <t>2025-07-16 02:19 PM</t>
        </is>
      </c>
    </row>
    <row r="414">
      <c r="A414" s="26" t="inlineStr">
        <is>
          <t>8961014037777</t>
        </is>
      </c>
      <c r="B414" s="10" t="inlineStr">
        <is>
          <t>MANGO TANGO</t>
        </is>
      </c>
      <c r="C414" s="10" t="inlineStr">
        <is>
          <t>Ice Cream</t>
        </is>
      </c>
      <c r="D414" s="10" t="inlineStr">
        <is>
          <t>Ice Cream</t>
        </is>
      </c>
      <c r="E414" s="13" t="n">
        <v>17</v>
      </c>
      <c r="F414" s="13" t="n">
        <v>20</v>
      </c>
      <c r="G414" s="13">
        <f>F414-E414</f>
        <v/>
      </c>
      <c r="H414" s="27" t="n">
        <v>126</v>
      </c>
      <c r="I414" s="13">
        <f>E414*H414</f>
        <v/>
      </c>
      <c r="J414" s="13">
        <f>F414*H414</f>
        <v/>
      </c>
      <c r="K414" s="26">
        <f>IF(H414&lt;=0, "Out of Stock", IF(H414&lt;=5, "Low Stock", "In Stock"))</f>
        <v/>
      </c>
      <c r="L414" s="26" t="inlineStr">
        <is>
          <t>2025-07-16 01:13 PM</t>
        </is>
      </c>
    </row>
    <row r="415">
      <c r="A415" s="28" t="inlineStr">
        <is>
          <t>8961014017595</t>
        </is>
      </c>
      <c r="B415" s="15" t="inlineStr">
        <is>
          <t>MOO FROOT ICE CREAM</t>
        </is>
      </c>
      <c r="C415" s="15" t="inlineStr">
        <is>
          <t>Ice Cream</t>
        </is>
      </c>
      <c r="D415" s="15" t="inlineStr">
        <is>
          <t>Ice Cream</t>
        </is>
      </c>
      <c r="E415" s="18" t="n">
        <v>34.64</v>
      </c>
      <c r="F415" s="18" t="n">
        <v>40</v>
      </c>
      <c r="G415" s="18">
        <f>F415-E415</f>
        <v/>
      </c>
      <c r="H415" s="29" t="n">
        <v>25</v>
      </c>
      <c r="I415" s="18">
        <f>E415*H415</f>
        <v/>
      </c>
      <c r="J415" s="18">
        <f>F415*H415</f>
        <v/>
      </c>
      <c r="K415" s="28">
        <f>IF(H415&lt;=0, "Out of Stock", IF(H415&lt;=5, "Low Stock", "In Stock"))</f>
        <v/>
      </c>
      <c r="L415" s="28" t="inlineStr">
        <is>
          <t>2025-07-19 06:53 PM</t>
        </is>
      </c>
    </row>
    <row r="416">
      <c r="A416" s="26" t="inlineStr">
        <is>
          <t>8961014032246</t>
        </is>
      </c>
      <c r="B416" s="10" t="inlineStr">
        <is>
          <t>POP CON CHOC VAN</t>
        </is>
      </c>
      <c r="C416" s="10" t="inlineStr">
        <is>
          <t>Ice Cream</t>
        </is>
      </c>
      <c r="D416" s="10" t="inlineStr">
        <is>
          <t>Ice Cream</t>
        </is>
      </c>
      <c r="E416" s="13" t="n">
        <v>67.5</v>
      </c>
      <c r="F416" s="13" t="n">
        <v>80</v>
      </c>
      <c r="G416" s="13">
        <f>F416-E416</f>
        <v/>
      </c>
      <c r="H416" s="27" t="n">
        <v>27</v>
      </c>
      <c r="I416" s="13">
        <f>E416*H416</f>
        <v/>
      </c>
      <c r="J416" s="13">
        <f>F416*H416</f>
        <v/>
      </c>
      <c r="K416" s="26">
        <f>IF(H416&lt;=0, "Out of Stock", IF(H416&lt;=5, "Low Stock", "In Stock"))</f>
        <v/>
      </c>
      <c r="L416" s="26" t="inlineStr">
        <is>
          <t>2025-07-16 02:11 PM</t>
        </is>
      </c>
    </row>
    <row r="417">
      <c r="A417" s="28" t="inlineStr">
        <is>
          <t>8961014032239</t>
        </is>
      </c>
      <c r="B417" s="15" t="inlineStr">
        <is>
          <t>POP CONE VANILLA STR</t>
        </is>
      </c>
      <c r="C417" s="15" t="inlineStr">
        <is>
          <t>Ice Cream</t>
        </is>
      </c>
      <c r="D417" s="15" t="inlineStr">
        <is>
          <t>Ice Cream</t>
        </is>
      </c>
      <c r="E417" s="18" t="n">
        <v>67.5</v>
      </c>
      <c r="F417" s="18" t="n">
        <v>80</v>
      </c>
      <c r="G417" s="18">
        <f>F417-E417</f>
        <v/>
      </c>
      <c r="H417" s="29" t="n">
        <v>18</v>
      </c>
      <c r="I417" s="18">
        <f>E417*H417</f>
        <v/>
      </c>
      <c r="J417" s="18">
        <f>F417*H417</f>
        <v/>
      </c>
      <c r="K417" s="28">
        <f>IF(H417&lt;=0, "Out of Stock", IF(H417&lt;=5, "Low Stock", "In Stock"))</f>
        <v/>
      </c>
      <c r="L417" s="28" t="inlineStr">
        <is>
          <t>2025-07-16 02:09 PM</t>
        </is>
      </c>
    </row>
    <row r="418">
      <c r="A418" s="26" t="inlineStr">
        <is>
          <t>8961014050547</t>
        </is>
      </c>
      <c r="B418" s="10" t="inlineStr">
        <is>
          <t>PP VANILLA CUP</t>
        </is>
      </c>
      <c r="C418" s="10" t="inlineStr">
        <is>
          <t>Ice Cream</t>
        </is>
      </c>
      <c r="D418" s="10" t="inlineStr">
        <is>
          <t>Ice Cream</t>
        </is>
      </c>
      <c r="E418" s="13" t="n">
        <v>34.5</v>
      </c>
      <c r="F418" s="13" t="n">
        <v>40</v>
      </c>
      <c r="G418" s="13">
        <f>F418-E418</f>
        <v/>
      </c>
      <c r="H418" s="27" t="n">
        <v>37</v>
      </c>
      <c r="I418" s="13">
        <f>E418*H418</f>
        <v/>
      </c>
      <c r="J418" s="13">
        <f>F418*H418</f>
        <v/>
      </c>
      <c r="K418" s="26">
        <f>IF(H418&lt;=0, "Out of Stock", IF(H418&lt;=5, "Low Stock", "In Stock"))</f>
        <v/>
      </c>
      <c r="L418" s="26" t="inlineStr">
        <is>
          <t>2025-07-16 02:15 PM</t>
        </is>
      </c>
    </row>
    <row r="419">
      <c r="A419" s="28" t="inlineStr">
        <is>
          <t>8961014017564</t>
        </is>
      </c>
      <c r="B419" s="15" t="inlineStr">
        <is>
          <t>WALLS DONUT</t>
        </is>
      </c>
      <c r="C419" s="15" t="inlineStr">
        <is>
          <t>Ice Cream</t>
        </is>
      </c>
      <c r="D419" s="15" t="inlineStr">
        <is>
          <t>Ice Cream</t>
        </is>
      </c>
      <c r="E419" s="18" t="n">
        <v>85.5</v>
      </c>
      <c r="F419" s="18" t="n">
        <v>100</v>
      </c>
      <c r="G419" s="18">
        <f>F419-E419</f>
        <v/>
      </c>
      <c r="H419" s="29" t="n">
        <v>19</v>
      </c>
      <c r="I419" s="18">
        <f>E419*H419</f>
        <v/>
      </c>
      <c r="J419" s="18">
        <f>F419*H419</f>
        <v/>
      </c>
      <c r="K419" s="28">
        <f>IF(H419&lt;=0, "Out of Stock", IF(H419&lt;=5, "Low Stock", "In Stock"))</f>
        <v/>
      </c>
      <c r="L419" s="28" t="inlineStr">
        <is>
          <t>2025-07-16 02:13 PM</t>
        </is>
      </c>
    </row>
    <row r="420">
      <c r="A420" s="26" t="inlineStr">
        <is>
          <t>8964000455210</t>
        </is>
      </c>
      <c r="B420" s="10" t="inlineStr">
        <is>
          <t>QUICE ICE CREAM SYRUP</t>
        </is>
      </c>
      <c r="C420" s="10" t="inlineStr">
        <is>
          <t>Ice Cream Syrup</t>
        </is>
      </c>
      <c r="D420" s="10" t="inlineStr">
        <is>
          <t>Ice Cream Syrup</t>
        </is>
      </c>
      <c r="E420" s="13" t="n">
        <v>1300</v>
      </c>
      <c r="F420" s="13" t="n">
        <v>1500</v>
      </c>
      <c r="G420" s="13">
        <f>F420-E420</f>
        <v/>
      </c>
      <c r="H420" s="27" t="n">
        <v>2</v>
      </c>
      <c r="I420" s="13">
        <f>E420*H420</f>
        <v/>
      </c>
      <c r="J420" s="13">
        <f>F420*H420</f>
        <v/>
      </c>
      <c r="K420" s="26">
        <f>IF(H420&lt;=0, "Out of Stock", IF(H420&lt;=5, "Low Stock", "In Stock"))</f>
        <v/>
      </c>
      <c r="L420" s="26" t="inlineStr">
        <is>
          <t>2025-07-17 04:22 PM</t>
        </is>
      </c>
    </row>
    <row r="421">
      <c r="A421" s="28" t="inlineStr">
        <is>
          <t>695240101398</t>
        </is>
      </c>
      <c r="B421" s="15" t="inlineStr">
        <is>
          <t>INK BLACK</t>
        </is>
      </c>
      <c r="C421" s="15" t="inlineStr">
        <is>
          <t>Ink</t>
        </is>
      </c>
      <c r="D421" s="15" t="inlineStr">
        <is>
          <t>Ink</t>
        </is>
      </c>
      <c r="E421" s="18" t="n">
        <v>25</v>
      </c>
      <c r="F421" s="18" t="n">
        <v>40</v>
      </c>
      <c r="G421" s="18">
        <f>F421-E421</f>
        <v/>
      </c>
      <c r="H421" s="29" t="n">
        <v>5</v>
      </c>
      <c r="I421" s="18">
        <f>E421*H421</f>
        <v/>
      </c>
      <c r="J421" s="18">
        <f>F421*H421</f>
        <v/>
      </c>
      <c r="K421" s="28">
        <f>IF(H421&lt;=0, "Out of Stock", IF(H421&lt;=5, "Low Stock", "In Stock"))</f>
        <v/>
      </c>
      <c r="L421" s="28" t="inlineStr">
        <is>
          <t>2025-07-13 06:34 PM</t>
        </is>
      </c>
    </row>
    <row r="422">
      <c r="A422" s="26" t="inlineStr">
        <is>
          <t>8964000543085</t>
        </is>
      </c>
      <c r="B422" s="10" t="inlineStr">
        <is>
          <t>TYPON INSECT KILLER</t>
        </is>
      </c>
      <c r="C422" s="10" t="inlineStr">
        <is>
          <t>Insect Killer</t>
        </is>
      </c>
      <c r="D422" s="10" t="inlineStr">
        <is>
          <t>Insect Killer</t>
        </is>
      </c>
      <c r="E422" s="13" t="n">
        <v>95</v>
      </c>
      <c r="F422" s="13" t="n">
        <v>150</v>
      </c>
      <c r="G422" s="13">
        <f>F422-E422</f>
        <v/>
      </c>
      <c r="H422" s="27" t="n">
        <v>4</v>
      </c>
      <c r="I422" s="13">
        <f>E422*H422</f>
        <v/>
      </c>
      <c r="J422" s="13">
        <f>F422*H422</f>
        <v/>
      </c>
      <c r="K422" s="26">
        <f>IF(H422&lt;=0, "Out of Stock", IF(H422&lt;=5, "Low Stock", "In Stock"))</f>
        <v/>
      </c>
      <c r="L422" s="26" t="inlineStr">
        <is>
          <t>2025-07-17 08:55 AM</t>
        </is>
      </c>
    </row>
    <row r="423">
      <c r="A423" s="28" t="inlineStr">
        <is>
          <t>5246897</t>
        </is>
      </c>
      <c r="B423" s="15" t="inlineStr">
        <is>
          <t>EGON WHITE TIGER DRAIN OPENER</t>
        </is>
      </c>
      <c r="C423" s="15" t="inlineStr">
        <is>
          <t>Item</t>
        </is>
      </c>
      <c r="D423" s="15" t="inlineStr">
        <is>
          <t>Item</t>
        </is>
      </c>
      <c r="E423" s="18" t="n">
        <v>44.33</v>
      </c>
      <c r="F423" s="18" t="n">
        <v>80</v>
      </c>
      <c r="G423" s="18">
        <f>F423-E423</f>
        <v/>
      </c>
      <c r="H423" s="29" t="n">
        <v>26</v>
      </c>
      <c r="I423" s="18">
        <f>E423*H423</f>
        <v/>
      </c>
      <c r="J423" s="18">
        <f>F423*H423</f>
        <v/>
      </c>
      <c r="K423" s="28">
        <f>IF(H423&lt;=0, "Out of Stock", IF(H423&lt;=5, "Low Stock", "In Stock"))</f>
        <v/>
      </c>
      <c r="L423" s="28" t="inlineStr">
        <is>
          <t>2025-07-14 04:50 PM</t>
        </is>
      </c>
    </row>
    <row r="424">
      <c r="A424" s="26" t="inlineStr">
        <is>
          <t>8809058410135</t>
        </is>
      </c>
      <c r="B424" s="10" t="inlineStr">
        <is>
          <t>Ear Buds Stick</t>
        </is>
      </c>
      <c r="C424" s="10" t="inlineStr">
        <is>
          <t>Item</t>
        </is>
      </c>
      <c r="D424" s="10" t="inlineStr">
        <is>
          <t>Item</t>
        </is>
      </c>
      <c r="E424" s="13" t="n">
        <v>36</v>
      </c>
      <c r="F424" s="13" t="n">
        <v>50</v>
      </c>
      <c r="G424" s="13">
        <f>F424-E424</f>
        <v/>
      </c>
      <c r="H424" s="27" t="n">
        <v>25</v>
      </c>
      <c r="I424" s="13">
        <f>E424*H424</f>
        <v/>
      </c>
      <c r="J424" s="13">
        <f>F424*H424</f>
        <v/>
      </c>
      <c r="K424" s="26">
        <f>IF(H424&lt;=0, "Out of Stock", IF(H424&lt;=5, "Low Stock", "In Stock"))</f>
        <v/>
      </c>
      <c r="L424" s="26" t="inlineStr">
        <is>
          <t>2025-07-12 07:25 PM</t>
        </is>
      </c>
    </row>
    <row r="425">
      <c r="A425" s="28" t="inlineStr">
        <is>
          <t>447652553216</t>
        </is>
      </c>
      <c r="B425" s="15" t="inlineStr">
        <is>
          <t>FEEDING BOTTLE BIG</t>
        </is>
      </c>
      <c r="C425" s="15" t="inlineStr">
        <is>
          <t>Item</t>
        </is>
      </c>
      <c r="D425" s="15" t="inlineStr">
        <is>
          <t>Item</t>
        </is>
      </c>
      <c r="E425" s="18" t="n">
        <v>185</v>
      </c>
      <c r="F425" s="18" t="n">
        <v>250</v>
      </c>
      <c r="G425" s="18">
        <f>F425-E425</f>
        <v/>
      </c>
      <c r="H425" s="29" t="n">
        <v>11</v>
      </c>
      <c r="I425" s="18">
        <f>E425*H425</f>
        <v/>
      </c>
      <c r="J425" s="18">
        <f>F425*H425</f>
        <v/>
      </c>
      <c r="K425" s="28">
        <f>IF(H425&lt;=0, "Out of Stock", IF(H425&lt;=5, "Low Stock", "In Stock"))</f>
        <v/>
      </c>
      <c r="L425" s="28" t="inlineStr">
        <is>
          <t>2025-07-13 03:35 PM</t>
        </is>
      </c>
    </row>
    <row r="426">
      <c r="A426" s="26" t="inlineStr">
        <is>
          <t>447652553261</t>
        </is>
      </c>
      <c r="B426" s="10" t="inlineStr">
        <is>
          <t>FEEDING BOTTLE SMALL</t>
        </is>
      </c>
      <c r="C426" s="10" t="inlineStr">
        <is>
          <t>Item</t>
        </is>
      </c>
      <c r="D426" s="10" t="inlineStr">
        <is>
          <t>Item</t>
        </is>
      </c>
      <c r="E426" s="13" t="n">
        <v>165</v>
      </c>
      <c r="F426" s="13" t="n">
        <v>220</v>
      </c>
      <c r="G426" s="13">
        <f>F426-E426</f>
        <v/>
      </c>
      <c r="H426" s="27" t="n">
        <v>10</v>
      </c>
      <c r="I426" s="13">
        <f>E426*H426</f>
        <v/>
      </c>
      <c r="J426" s="13">
        <f>F426*H426</f>
        <v/>
      </c>
      <c r="K426" s="26">
        <f>IF(H426&lt;=0, "Out of Stock", IF(H426&lt;=5, "Low Stock", "In Stock"))</f>
        <v/>
      </c>
      <c r="L426" s="26" t="inlineStr">
        <is>
          <t>2025-07-13 03:32 PM</t>
        </is>
      </c>
    </row>
    <row r="427">
      <c r="A427" s="28" t="inlineStr">
        <is>
          <t>PROD-20250714-GLYC</t>
        </is>
      </c>
      <c r="B427" s="15" t="inlineStr">
        <is>
          <t>GLYCERIN JUMBOO</t>
        </is>
      </c>
      <c r="C427" s="15" t="inlineStr">
        <is>
          <t>Item</t>
        </is>
      </c>
      <c r="D427" s="15" t="inlineStr">
        <is>
          <t>Item</t>
        </is>
      </c>
      <c r="E427" s="18" t="n">
        <v>92</v>
      </c>
      <c r="F427" s="18" t="n">
        <v>200</v>
      </c>
      <c r="G427" s="18">
        <f>F427-E427</f>
        <v/>
      </c>
      <c r="H427" s="29" t="n">
        <v>24</v>
      </c>
      <c r="I427" s="18">
        <f>E427*H427</f>
        <v/>
      </c>
      <c r="J427" s="18">
        <f>F427*H427</f>
        <v/>
      </c>
      <c r="K427" s="28">
        <f>IF(H427&lt;=0, "Out of Stock", IF(H427&lt;=5, "Low Stock", "In Stock"))</f>
        <v/>
      </c>
      <c r="L427" s="28" t="inlineStr">
        <is>
          <t>2025-07-14 03:32 PM</t>
        </is>
      </c>
    </row>
    <row r="428">
      <c r="A428" s="26" t="inlineStr">
        <is>
          <t>PROD-20250714-GLYCERIN</t>
        </is>
      </c>
      <c r="B428" s="10" t="inlineStr">
        <is>
          <t>GLYCERIN SM</t>
        </is>
      </c>
      <c r="C428" s="10" t="inlineStr">
        <is>
          <t>Item</t>
        </is>
      </c>
      <c r="D428" s="10" t="inlineStr">
        <is>
          <t>Item</t>
        </is>
      </c>
      <c r="E428" s="13" t="n">
        <v>67</v>
      </c>
      <c r="F428" s="13" t="n">
        <v>150</v>
      </c>
      <c r="G428" s="13">
        <f>F428-E428</f>
        <v/>
      </c>
      <c r="H428" s="27" t="n">
        <v>24</v>
      </c>
      <c r="I428" s="13">
        <f>E428*H428</f>
        <v/>
      </c>
      <c r="J428" s="13">
        <f>F428*H428</f>
        <v/>
      </c>
      <c r="K428" s="26">
        <f>IF(H428&lt;=0, "Out of Stock", IF(H428&lt;=5, "Low Stock", "In Stock"))</f>
        <v/>
      </c>
      <c r="L428" s="26" t="inlineStr">
        <is>
          <t>2025-07-14 03:31 PM</t>
        </is>
      </c>
    </row>
    <row r="429">
      <c r="A429" s="28" t="inlineStr">
        <is>
          <t>PROD-20250713-210732-HANGER</t>
        </is>
      </c>
      <c r="B429" s="15" t="inlineStr">
        <is>
          <t>HANGER PLASTIC</t>
        </is>
      </c>
      <c r="C429" s="15" t="inlineStr">
        <is>
          <t>Item</t>
        </is>
      </c>
      <c r="D429" s="15" t="inlineStr">
        <is>
          <t>Item</t>
        </is>
      </c>
      <c r="E429" s="18" t="n">
        <v>420</v>
      </c>
      <c r="F429" s="18" t="n">
        <v>520</v>
      </c>
      <c r="G429" s="18">
        <f>F429-E429</f>
        <v/>
      </c>
      <c r="H429" s="29" t="n">
        <v>6</v>
      </c>
      <c r="I429" s="18">
        <f>E429*H429</f>
        <v/>
      </c>
      <c r="J429" s="18">
        <f>F429*H429</f>
        <v/>
      </c>
      <c r="K429" s="28">
        <f>IF(H429&lt;=0, "Out of Stock", IF(H429&lt;=5, "Low Stock", "In Stock"))</f>
        <v/>
      </c>
      <c r="L429" s="28" t="inlineStr">
        <is>
          <t>2025-07-13 04:11 PM</t>
        </is>
      </c>
    </row>
    <row r="430">
      <c r="A430" s="26" t="inlineStr">
        <is>
          <t>8886950072272</t>
        </is>
      </c>
      <c r="B430" s="10" t="inlineStr">
        <is>
          <t>MAX BAR 165GM</t>
        </is>
      </c>
      <c r="C430" s="10" t="inlineStr">
        <is>
          <t>Item</t>
        </is>
      </c>
      <c r="D430" s="10" t="inlineStr">
        <is>
          <t>Item</t>
        </is>
      </c>
      <c r="E430" s="13" t="n">
        <v>47</v>
      </c>
      <c r="F430" s="13" t="n">
        <v>50</v>
      </c>
      <c r="G430" s="13">
        <f>F430-E430</f>
        <v/>
      </c>
      <c r="H430" s="27" t="n">
        <v>44</v>
      </c>
      <c r="I430" s="13">
        <f>E430*H430</f>
        <v/>
      </c>
      <c r="J430" s="13">
        <f>F430*H430</f>
        <v/>
      </c>
      <c r="K430" s="26">
        <f>IF(H430&lt;=0, "Out of Stock", IF(H430&lt;=5, "Low Stock", "In Stock"))</f>
        <v/>
      </c>
      <c r="L430" s="26" t="inlineStr">
        <is>
          <t>2025-07-14 01:50 PM</t>
        </is>
      </c>
    </row>
    <row r="431">
      <c r="A431" s="28" t="inlineStr">
        <is>
          <t>8886950072241</t>
        </is>
      </c>
      <c r="B431" s="15" t="inlineStr">
        <is>
          <t>MAX BAR 57GM</t>
        </is>
      </c>
      <c r="C431" s="15" t="inlineStr">
        <is>
          <t>Item</t>
        </is>
      </c>
      <c r="D431" s="15" t="inlineStr">
        <is>
          <t>Item</t>
        </is>
      </c>
      <c r="E431" s="18" t="n">
        <v>14</v>
      </c>
      <c r="F431" s="18" t="n">
        <v>15</v>
      </c>
      <c r="G431" s="18">
        <f>F431-E431</f>
        <v/>
      </c>
      <c r="H431" s="29" t="n">
        <v>119</v>
      </c>
      <c r="I431" s="18">
        <f>E431*H431</f>
        <v/>
      </c>
      <c r="J431" s="18">
        <f>F431*H431</f>
        <v/>
      </c>
      <c r="K431" s="28">
        <f>IF(H431&lt;=0, "Out of Stock", IF(H431&lt;=5, "Low Stock", "In Stock"))</f>
        <v/>
      </c>
      <c r="L431" s="28" t="inlineStr">
        <is>
          <t>2025-07-14 01:58 PM</t>
        </is>
      </c>
    </row>
    <row r="432">
      <c r="A432" s="26" t="inlineStr">
        <is>
          <t>8886950071947</t>
        </is>
      </c>
      <c r="B432" s="10" t="inlineStr">
        <is>
          <t>MAX BAR 85GM</t>
        </is>
      </c>
      <c r="C432" s="10" t="inlineStr">
        <is>
          <t>Item</t>
        </is>
      </c>
      <c r="D432" s="10" t="inlineStr">
        <is>
          <t>Item</t>
        </is>
      </c>
      <c r="E432" s="13" t="n">
        <v>28</v>
      </c>
      <c r="F432" s="13" t="n">
        <v>30</v>
      </c>
      <c r="G432" s="13">
        <f>F432-E432</f>
        <v/>
      </c>
      <c r="H432" s="27" t="n">
        <v>96</v>
      </c>
      <c r="I432" s="13">
        <f>E432*H432</f>
        <v/>
      </c>
      <c r="J432" s="13">
        <f>F432*H432</f>
        <v/>
      </c>
      <c r="K432" s="26">
        <f>IF(H432&lt;=0, "Out of Stock", IF(H432&lt;=5, "Low Stock", "In Stock"))</f>
        <v/>
      </c>
      <c r="L432" s="26" t="inlineStr">
        <is>
          <t>2025-07-14 01:54 PM</t>
        </is>
      </c>
    </row>
    <row r="433">
      <c r="A433" s="28" t="inlineStr">
        <is>
          <t>8886950073736</t>
        </is>
      </c>
      <c r="B433" s="15" t="inlineStr">
        <is>
          <t>MAX CATORI 200GM</t>
        </is>
      </c>
      <c r="C433" s="15" t="inlineStr">
        <is>
          <t>Item</t>
        </is>
      </c>
      <c r="D433" s="15" t="inlineStr">
        <is>
          <t>Item</t>
        </is>
      </c>
      <c r="E433" s="18" t="n">
        <v>125</v>
      </c>
      <c r="F433" s="18" t="n">
        <v>140</v>
      </c>
      <c r="G433" s="18">
        <f>F433-E433</f>
        <v/>
      </c>
      <c r="H433" s="29" t="n">
        <v>45</v>
      </c>
      <c r="I433" s="18">
        <f>E433*H433</f>
        <v/>
      </c>
      <c r="J433" s="18">
        <f>F433*H433</f>
        <v/>
      </c>
      <c r="K433" s="28">
        <f>IF(H433&lt;=0, "Out of Stock", IF(H433&lt;=5, "Low Stock", "In Stock"))</f>
        <v/>
      </c>
      <c r="L433" s="28" t="inlineStr">
        <is>
          <t>2025-07-14 02:02 PM</t>
        </is>
      </c>
    </row>
    <row r="434">
      <c r="A434" s="26" t="inlineStr">
        <is>
          <t>5052197062335</t>
        </is>
      </c>
      <c r="B434" s="10" t="inlineStr">
        <is>
          <t>Mortein Machine Refill</t>
        </is>
      </c>
      <c r="C434" s="10" t="inlineStr">
        <is>
          <t>Item</t>
        </is>
      </c>
      <c r="D434" s="10" t="inlineStr">
        <is>
          <t>Item</t>
        </is>
      </c>
      <c r="E434" s="13" t="n">
        <v>470</v>
      </c>
      <c r="F434" s="13" t="n">
        <v>650</v>
      </c>
      <c r="G434" s="13">
        <f>F434-E434</f>
        <v/>
      </c>
      <c r="H434" s="27" t="n">
        <v>8</v>
      </c>
      <c r="I434" s="13">
        <f>E434*H434</f>
        <v/>
      </c>
      <c r="J434" s="13">
        <f>F434*H434</f>
        <v/>
      </c>
      <c r="K434" s="26">
        <f>IF(H434&lt;=0, "Out of Stock", IF(H434&lt;=5, "Low Stock", "In Stock"))</f>
        <v/>
      </c>
      <c r="L434" s="26" t="inlineStr">
        <is>
          <t>2025-07-13 08:19 AM</t>
        </is>
      </c>
    </row>
    <row r="435">
      <c r="A435" s="28" t="inlineStr">
        <is>
          <t>PROD-20250713-Needle</t>
        </is>
      </c>
      <c r="B435" s="15" t="inlineStr">
        <is>
          <t>Needle Big</t>
        </is>
      </c>
      <c r="C435" s="15" t="inlineStr">
        <is>
          <t>Item</t>
        </is>
      </c>
      <c r="D435" s="15" t="inlineStr">
        <is>
          <t>Item</t>
        </is>
      </c>
      <c r="E435" s="18" t="n">
        <v>14</v>
      </c>
      <c r="F435" s="18" t="n">
        <v>40</v>
      </c>
      <c r="G435" s="18">
        <f>F435-E435</f>
        <v/>
      </c>
      <c r="H435" s="29" t="n">
        <v>20</v>
      </c>
      <c r="I435" s="18">
        <f>E435*H435</f>
        <v/>
      </c>
      <c r="J435" s="18">
        <f>F435*H435</f>
        <v/>
      </c>
      <c r="K435" s="28">
        <f>IF(H435&lt;=0, "Out of Stock", IF(H435&lt;=5, "Low Stock", "In Stock"))</f>
        <v/>
      </c>
      <c r="L435" s="28" t="inlineStr">
        <is>
          <t>2025-07-13 08:05 AM</t>
        </is>
      </c>
    </row>
    <row r="436">
      <c r="A436" s="26" t="inlineStr">
        <is>
          <t>PROD-20250713-Ndl-Mdl</t>
        </is>
      </c>
      <c r="B436" s="10" t="inlineStr">
        <is>
          <t>Needle Middle</t>
        </is>
      </c>
      <c r="C436" s="10" t="inlineStr">
        <is>
          <t>Item</t>
        </is>
      </c>
      <c r="D436" s="10" t="inlineStr">
        <is>
          <t>Item</t>
        </is>
      </c>
      <c r="E436" s="13" t="n">
        <v>9</v>
      </c>
      <c r="F436" s="13" t="n">
        <v>30</v>
      </c>
      <c r="G436" s="13">
        <f>F436-E436</f>
        <v/>
      </c>
      <c r="H436" s="27" t="n">
        <v>20</v>
      </c>
      <c r="I436" s="13">
        <f>E436*H436</f>
        <v/>
      </c>
      <c r="J436" s="13">
        <f>F436*H436</f>
        <v/>
      </c>
      <c r="K436" s="26">
        <f>IF(H436&lt;=0, "Out of Stock", IF(H436&lt;=5, "Low Stock", "In Stock"))</f>
        <v/>
      </c>
      <c r="L436" s="26" t="inlineStr">
        <is>
          <t>2025-07-13 08:04 AM</t>
        </is>
      </c>
    </row>
    <row r="437">
      <c r="A437" s="28" t="inlineStr">
        <is>
          <t>PROD-20250713-Needle-small</t>
        </is>
      </c>
      <c r="B437" s="15" t="inlineStr">
        <is>
          <t>Needle Sm</t>
        </is>
      </c>
      <c r="C437" s="15" t="inlineStr">
        <is>
          <t>Item</t>
        </is>
      </c>
      <c r="D437" s="15" t="inlineStr">
        <is>
          <t>Item</t>
        </is>
      </c>
      <c r="E437" s="18" t="n">
        <v>5</v>
      </c>
      <c r="F437" s="18" t="n">
        <v>20</v>
      </c>
      <c r="G437" s="18">
        <f>F437-E437</f>
        <v/>
      </c>
      <c r="H437" s="29" t="n">
        <v>20</v>
      </c>
      <c r="I437" s="18">
        <f>E437*H437</f>
        <v/>
      </c>
      <c r="J437" s="18">
        <f>F437*H437</f>
        <v/>
      </c>
      <c r="K437" s="28">
        <f>IF(H437&lt;=0, "Out of Stock", IF(H437&lt;=5, "Low Stock", "In Stock"))</f>
        <v/>
      </c>
      <c r="L437" s="28" t="inlineStr">
        <is>
          <t>2025-07-13 08:03 AM</t>
        </is>
      </c>
    </row>
    <row r="438">
      <c r="A438" s="26" t="inlineStr">
        <is>
          <t>PROD-20250713-215744-OSAKA</t>
        </is>
      </c>
      <c r="B438" s="10" t="inlineStr">
        <is>
          <t>OSAKA TAPE</t>
        </is>
      </c>
      <c r="C438" s="10" t="inlineStr">
        <is>
          <t>Item</t>
        </is>
      </c>
      <c r="D438" s="10" t="inlineStr">
        <is>
          <t>Item</t>
        </is>
      </c>
      <c r="E438" s="13" t="n">
        <v>50</v>
      </c>
      <c r="F438" s="13" t="n">
        <v>80</v>
      </c>
      <c r="G438" s="13">
        <f>F438-E438</f>
        <v/>
      </c>
      <c r="H438" s="27" t="n">
        <v>118</v>
      </c>
      <c r="I438" s="13">
        <f>E438*H438</f>
        <v/>
      </c>
      <c r="J438" s="13">
        <f>F438*H438</f>
        <v/>
      </c>
      <c r="K438" s="26">
        <f>IF(H438&lt;=0, "Out of Stock", IF(H438&lt;=5, "Low Stock", "In Stock"))</f>
        <v/>
      </c>
      <c r="L438" s="26" t="inlineStr">
        <is>
          <t>2025-07-13 04:58 PM</t>
        </is>
      </c>
    </row>
    <row r="439">
      <c r="A439" s="28" t="inlineStr">
        <is>
          <t>PROD-20250714-ROSE WT</t>
        </is>
      </c>
      <c r="B439" s="15" t="inlineStr">
        <is>
          <t>ROSE WATER SPRAY</t>
        </is>
      </c>
      <c r="C439" s="15" t="inlineStr">
        <is>
          <t>Item</t>
        </is>
      </c>
      <c r="D439" s="15" t="inlineStr">
        <is>
          <t>Item</t>
        </is>
      </c>
      <c r="E439" s="18" t="n">
        <v>95</v>
      </c>
      <c r="F439" s="18" t="n">
        <v>190</v>
      </c>
      <c r="G439" s="18">
        <f>F439-E439</f>
        <v/>
      </c>
      <c r="H439" s="29" t="n">
        <v>12</v>
      </c>
      <c r="I439" s="18">
        <f>E439*H439</f>
        <v/>
      </c>
      <c r="J439" s="18">
        <f>F439*H439</f>
        <v/>
      </c>
      <c r="K439" s="28">
        <f>IF(H439&lt;=0, "Out of Stock", IF(H439&lt;=5, "Low Stock", "In Stock"))</f>
        <v/>
      </c>
      <c r="L439" s="28" t="inlineStr">
        <is>
          <t>2025-07-14 03:40 PM</t>
        </is>
      </c>
    </row>
    <row r="440">
      <c r="A440" s="26" t="inlineStr">
        <is>
          <t>9780213797096</t>
        </is>
      </c>
      <c r="B440" s="10" t="inlineStr">
        <is>
          <t>ROYAL CLASSIC</t>
        </is>
      </c>
      <c r="C440" s="10" t="inlineStr">
        <is>
          <t>Item</t>
        </is>
      </c>
      <c r="D440" s="10" t="inlineStr">
        <is>
          <t>Item</t>
        </is>
      </c>
      <c r="E440" s="13" t="n">
        <v>168</v>
      </c>
      <c r="F440" s="13" t="n">
        <v>245</v>
      </c>
      <c r="G440" s="13">
        <f>F440-E440</f>
        <v/>
      </c>
      <c r="H440" s="27" t="n">
        <v>38</v>
      </c>
      <c r="I440" s="13">
        <f>E440*H440</f>
        <v/>
      </c>
      <c r="J440" s="13">
        <f>F440*H440</f>
        <v/>
      </c>
      <c r="K440" s="26">
        <f>IF(H440&lt;=0, "Out of Stock", IF(H440&lt;=5, "Low Stock", "In Stock"))</f>
        <v/>
      </c>
      <c r="L440" s="26" t="inlineStr">
        <is>
          <t>2025-07-14 01:36 PM</t>
        </is>
      </c>
    </row>
    <row r="441">
      <c r="A441" s="28" t="inlineStr">
        <is>
          <t>9233411114368</t>
        </is>
      </c>
      <c r="B441" s="15" t="inlineStr">
        <is>
          <t>SCETCH BRIGHT STEEL SCRUBBER</t>
        </is>
      </c>
      <c r="C441" s="15" t="inlineStr">
        <is>
          <t>Item</t>
        </is>
      </c>
      <c r="D441" s="15" t="inlineStr">
        <is>
          <t>Item</t>
        </is>
      </c>
      <c r="E441" s="18" t="n">
        <v>29</v>
      </c>
      <c r="F441" s="18" t="n">
        <v>50</v>
      </c>
      <c r="G441" s="18">
        <f>F441-E441</f>
        <v/>
      </c>
      <c r="H441" s="29" t="n">
        <v>130</v>
      </c>
      <c r="I441" s="18">
        <f>E441*H441</f>
        <v/>
      </c>
      <c r="J441" s="18">
        <f>F441*H441</f>
        <v/>
      </c>
      <c r="K441" s="28">
        <f>IF(H441&lt;=0, "Out of Stock", IF(H441&lt;=5, "Low Stock", "In Stock"))</f>
        <v/>
      </c>
      <c r="L441" s="28" t="inlineStr">
        <is>
          <t>2025-07-15 04:57 PM</t>
        </is>
      </c>
    </row>
    <row r="442">
      <c r="A442" s="26" t="inlineStr">
        <is>
          <t>6933961560310</t>
        </is>
      </c>
      <c r="B442" s="10" t="inlineStr">
        <is>
          <t>ThoothPicks</t>
        </is>
      </c>
      <c r="C442" s="10" t="inlineStr">
        <is>
          <t>Item</t>
        </is>
      </c>
      <c r="D442" s="10" t="inlineStr">
        <is>
          <t>Item</t>
        </is>
      </c>
      <c r="E442" s="13" t="n">
        <v>70</v>
      </c>
      <c r="F442" s="13" t="n">
        <v>90</v>
      </c>
      <c r="G442" s="13">
        <f>F442-E442</f>
        <v/>
      </c>
      <c r="H442" s="27" t="n">
        <v>13</v>
      </c>
      <c r="I442" s="13">
        <f>E442*H442</f>
        <v/>
      </c>
      <c r="J442" s="13">
        <f>F442*H442</f>
        <v/>
      </c>
      <c r="K442" s="26">
        <f>IF(H442&lt;=0, "Out of Stock", IF(H442&lt;=5, "Low Stock", "In Stock"))</f>
        <v/>
      </c>
      <c r="L442" s="26" t="inlineStr">
        <is>
          <t>2025-07-12 07:27 PM</t>
        </is>
      </c>
    </row>
    <row r="443">
      <c r="A443" s="28" t="inlineStr">
        <is>
          <t>PROD-20250714-VASELINEBG</t>
        </is>
      </c>
      <c r="B443" s="15" t="inlineStr">
        <is>
          <t>VASELINE BIG</t>
        </is>
      </c>
      <c r="C443" s="15" t="inlineStr">
        <is>
          <t>Item</t>
        </is>
      </c>
      <c r="D443" s="15" t="inlineStr">
        <is>
          <t>Item</t>
        </is>
      </c>
      <c r="E443" s="18" t="n">
        <v>69</v>
      </c>
      <c r="F443" s="18" t="n">
        <v>120</v>
      </c>
      <c r="G443" s="18">
        <f>F443-E443</f>
        <v/>
      </c>
      <c r="H443" s="29" t="n">
        <v>11</v>
      </c>
      <c r="I443" s="18">
        <f>E443*H443</f>
        <v/>
      </c>
      <c r="J443" s="18">
        <f>F443*H443</f>
        <v/>
      </c>
      <c r="K443" s="28">
        <f>IF(H443&lt;=0, "Out of Stock", IF(H443&lt;=5, "Low Stock", "In Stock"))</f>
        <v/>
      </c>
      <c r="L443" s="28" t="inlineStr">
        <is>
          <t>2025-07-14 11:10 AM</t>
        </is>
      </c>
    </row>
    <row r="444">
      <c r="A444" s="26" t="inlineStr">
        <is>
          <t>PROD-20250714-VASELINE</t>
        </is>
      </c>
      <c r="B444" s="10" t="inlineStr">
        <is>
          <t>VASELINE SML</t>
        </is>
      </c>
      <c r="C444" s="10" t="inlineStr">
        <is>
          <t>Item</t>
        </is>
      </c>
      <c r="D444" s="10" t="inlineStr">
        <is>
          <t>Item</t>
        </is>
      </c>
      <c r="E444" s="13" t="n">
        <v>35</v>
      </c>
      <c r="F444" s="13" t="n">
        <v>60</v>
      </c>
      <c r="G444" s="13">
        <f>F444-E444</f>
        <v/>
      </c>
      <c r="H444" s="27" t="n">
        <v>10</v>
      </c>
      <c r="I444" s="13">
        <f>E444*H444</f>
        <v/>
      </c>
      <c r="J444" s="13">
        <f>F444*H444</f>
        <v/>
      </c>
      <c r="K444" s="26">
        <f>IF(H444&lt;=0, "Out of Stock", IF(H444&lt;=5, "Low Stock", "In Stock"))</f>
        <v/>
      </c>
      <c r="L444" s="26" t="inlineStr">
        <is>
          <t>2025-07-14 11:09 AM</t>
        </is>
      </c>
    </row>
    <row r="445">
      <c r="A445" s="28" t="inlineStr">
        <is>
          <t>8966000060418</t>
        </is>
      </c>
      <c r="B445" s="15" t="inlineStr">
        <is>
          <t>ZappIt Sogo Machine</t>
        </is>
      </c>
      <c r="C445" s="15" t="inlineStr">
        <is>
          <t>Item</t>
        </is>
      </c>
      <c r="D445" s="15" t="inlineStr">
        <is>
          <t>Item</t>
        </is>
      </c>
      <c r="E445" s="18" t="n">
        <v>320</v>
      </c>
      <c r="F445" s="18" t="n">
        <v>400</v>
      </c>
      <c r="G445" s="18">
        <f>F445-E445</f>
        <v/>
      </c>
      <c r="H445" s="29" t="n">
        <v>11</v>
      </c>
      <c r="I445" s="18">
        <f>E445*H445</f>
        <v/>
      </c>
      <c r="J445" s="18">
        <f>F445*H445</f>
        <v/>
      </c>
      <c r="K445" s="28">
        <f>IF(H445&lt;=0, "Out of Stock", IF(H445&lt;=5, "Low Stock", "In Stock"))</f>
        <v/>
      </c>
      <c r="L445" s="28" t="inlineStr">
        <is>
          <t>2025-07-13 08:20 AM</t>
        </is>
      </c>
    </row>
    <row r="446">
      <c r="A446" s="26" t="inlineStr">
        <is>
          <t>6260272446898</t>
        </is>
      </c>
      <c r="B446" s="10" t="inlineStr">
        <is>
          <t>SHANA CARROT JAM SM</t>
        </is>
      </c>
      <c r="C446" s="10" t="inlineStr">
        <is>
          <t>Jam</t>
        </is>
      </c>
      <c r="D446" s="10" t="inlineStr">
        <is>
          <t>Jam</t>
        </is>
      </c>
      <c r="E446" s="13" t="n">
        <v>300</v>
      </c>
      <c r="F446" s="13" t="n">
        <v>350</v>
      </c>
      <c r="G446" s="13">
        <f>F446-E446</f>
        <v/>
      </c>
      <c r="H446" s="27" t="n">
        <v>1</v>
      </c>
      <c r="I446" s="13">
        <f>E446*H446</f>
        <v/>
      </c>
      <c r="J446" s="13">
        <f>F446*H446</f>
        <v/>
      </c>
      <c r="K446" s="26">
        <f>IF(H446&lt;=0, "Out of Stock", IF(H446&lt;=5, "Low Stock", "In Stock"))</f>
        <v/>
      </c>
      <c r="L446" s="26" t="inlineStr">
        <is>
          <t>2025-07-17 08:36 AM</t>
        </is>
      </c>
    </row>
    <row r="447">
      <c r="A447" s="28" t="inlineStr">
        <is>
          <t>6260272444863</t>
        </is>
      </c>
      <c r="B447" s="15" t="inlineStr">
        <is>
          <t>SHANA FIG JAM</t>
        </is>
      </c>
      <c r="C447" s="15" t="inlineStr">
        <is>
          <t>Jam</t>
        </is>
      </c>
      <c r="D447" s="15" t="inlineStr">
        <is>
          <t>Jam</t>
        </is>
      </c>
      <c r="E447" s="18" t="n">
        <v>616</v>
      </c>
      <c r="F447" s="18" t="n">
        <v>750</v>
      </c>
      <c r="G447" s="18">
        <f>F447-E447</f>
        <v/>
      </c>
      <c r="H447" s="29" t="n">
        <v>4</v>
      </c>
      <c r="I447" s="18">
        <f>E447*H447</f>
        <v/>
      </c>
      <c r="J447" s="18">
        <f>F447*H447</f>
        <v/>
      </c>
      <c r="K447" s="28">
        <f>IF(H447&lt;=0, "Out of Stock", IF(H447&lt;=5, "Low Stock", "In Stock"))</f>
        <v/>
      </c>
      <c r="L447" s="28" t="inlineStr">
        <is>
          <t>2025-07-17 08:06 AM</t>
        </is>
      </c>
    </row>
    <row r="448">
      <c r="A448" s="26" t="inlineStr">
        <is>
          <t>6260272444917</t>
        </is>
      </c>
      <c r="B448" s="10" t="inlineStr">
        <is>
          <t>SHANA JAM PEACH</t>
        </is>
      </c>
      <c r="C448" s="10" t="inlineStr">
        <is>
          <t>Jam</t>
        </is>
      </c>
      <c r="D448" s="10" t="inlineStr">
        <is>
          <t>Jam</t>
        </is>
      </c>
      <c r="E448" s="13" t="n">
        <v>616</v>
      </c>
      <c r="F448" s="13" t="n">
        <v>750</v>
      </c>
      <c r="G448" s="13">
        <f>F448-E448</f>
        <v/>
      </c>
      <c r="H448" s="27" t="n">
        <v>20</v>
      </c>
      <c r="I448" s="13">
        <f>E448*H448</f>
        <v/>
      </c>
      <c r="J448" s="13">
        <f>F448*H448</f>
        <v/>
      </c>
      <c r="K448" s="26">
        <f>IF(H448&lt;=0, "Out of Stock", IF(H448&lt;=5, "Low Stock", "In Stock"))</f>
        <v/>
      </c>
      <c r="L448" s="26" t="inlineStr">
        <is>
          <t>2025-07-17 08:11 AM</t>
        </is>
      </c>
    </row>
    <row r="449">
      <c r="A449" s="28" t="inlineStr">
        <is>
          <t>6260272445242</t>
        </is>
      </c>
      <c r="B449" s="15" t="inlineStr">
        <is>
          <t>SHANA SOUR CHERRY JAM</t>
        </is>
      </c>
      <c r="C449" s="15" t="inlineStr">
        <is>
          <t>Jam</t>
        </is>
      </c>
      <c r="D449" s="15" t="inlineStr">
        <is>
          <t>Jam</t>
        </is>
      </c>
      <c r="E449" s="18" t="n">
        <v>314.6</v>
      </c>
      <c r="F449" s="18" t="n">
        <v>380</v>
      </c>
      <c r="G449" s="18">
        <f>F449-E449</f>
        <v/>
      </c>
      <c r="H449" s="29" t="n">
        <v>57</v>
      </c>
      <c r="I449" s="18">
        <f>E449*H449</f>
        <v/>
      </c>
      <c r="J449" s="18">
        <f>F449*H449</f>
        <v/>
      </c>
      <c r="K449" s="28">
        <f>IF(H449&lt;=0, "Out of Stock", IF(H449&lt;=5, "Low Stock", "In Stock"))</f>
        <v/>
      </c>
      <c r="L449" s="28" t="inlineStr">
        <is>
          <t>2025-07-17 08:14 AM</t>
        </is>
      </c>
    </row>
    <row r="450">
      <c r="A450" s="26" t="inlineStr">
        <is>
          <t>6260272445280</t>
        </is>
      </c>
      <c r="B450" s="10" t="inlineStr">
        <is>
          <t>SHANA SOUR CHERRY JAM BG</t>
        </is>
      </c>
      <c r="C450" s="10" t="inlineStr">
        <is>
          <t>Jam</t>
        </is>
      </c>
      <c r="D450" s="10" t="inlineStr">
        <is>
          <t>Jam</t>
        </is>
      </c>
      <c r="E450" s="13" t="n">
        <v>625</v>
      </c>
      <c r="F450" s="13" t="n">
        <v>750</v>
      </c>
      <c r="G450" s="13">
        <f>F450-E450</f>
        <v/>
      </c>
      <c r="H450" s="27" t="n">
        <v>9</v>
      </c>
      <c r="I450" s="13">
        <f>E450*H450</f>
        <v/>
      </c>
      <c r="J450" s="13">
        <f>F450*H450</f>
        <v/>
      </c>
      <c r="K450" s="26">
        <f>IF(H450&lt;=0, "Out of Stock", IF(H450&lt;=5, "Low Stock", "In Stock"))</f>
        <v/>
      </c>
      <c r="L450" s="26" t="inlineStr">
        <is>
          <t>2025-07-29 05:39 PM</t>
        </is>
      </c>
    </row>
    <row r="451">
      <c r="A451" s="28" t="inlineStr">
        <is>
          <t>8964001165019</t>
        </is>
      </c>
      <c r="B451" s="15" t="inlineStr">
        <is>
          <t>MAMA,S TOMATO KETCHUP</t>
        </is>
      </c>
      <c r="C451" s="15" t="inlineStr">
        <is>
          <t>Ketchup</t>
        </is>
      </c>
      <c r="D451" s="15" t="inlineStr">
        <is>
          <t>Ketchup</t>
        </is>
      </c>
      <c r="E451" s="18" t="n">
        <v>300</v>
      </c>
      <c r="F451" s="18" t="n">
        <v>380</v>
      </c>
      <c r="G451" s="18">
        <f>F451-E451</f>
        <v/>
      </c>
      <c r="H451" s="29" t="n">
        <v>2</v>
      </c>
      <c r="I451" s="18">
        <f>E451*H451</f>
        <v/>
      </c>
      <c r="J451" s="18">
        <f>F451*H451</f>
        <v/>
      </c>
      <c r="K451" s="28">
        <f>IF(H451&lt;=0, "Out of Stock", IF(H451&lt;=5, "Low Stock", "In Stock"))</f>
        <v/>
      </c>
      <c r="L451" s="28" t="inlineStr">
        <is>
          <t>2025-07-16 07:23 PM</t>
        </is>
      </c>
    </row>
    <row r="452">
      <c r="A452" s="26" t="inlineStr">
        <is>
          <t>633152023278</t>
        </is>
      </c>
      <c r="B452" s="10" t="inlineStr">
        <is>
          <t>TOMATO KETCHUP SACHET</t>
        </is>
      </c>
      <c r="C452" s="10" t="inlineStr">
        <is>
          <t>Ketchup</t>
        </is>
      </c>
      <c r="D452" s="10" t="inlineStr">
        <is>
          <t>Ketchup</t>
        </is>
      </c>
      <c r="E452" s="13" t="n">
        <v>18.33</v>
      </c>
      <c r="F452" s="13" t="n">
        <v>30</v>
      </c>
      <c r="G452" s="13">
        <f>F452-E452</f>
        <v/>
      </c>
      <c r="H452" s="27" t="n">
        <v>53</v>
      </c>
      <c r="I452" s="13">
        <f>E452*H452</f>
        <v/>
      </c>
      <c r="J452" s="13">
        <f>F452*H452</f>
        <v/>
      </c>
      <c r="K452" s="26">
        <f>IF(H452&lt;=0, "Out of Stock", IF(H452&lt;=5, "Low Stock", "In Stock"))</f>
        <v/>
      </c>
      <c r="L452" s="26" t="inlineStr">
        <is>
          <t>2025-07-19 05:35 PM</t>
        </is>
      </c>
    </row>
    <row r="453">
      <c r="A453" s="28" t="inlineStr">
        <is>
          <t>8961014265538</t>
        </is>
      </c>
      <c r="B453" s="15" t="inlineStr">
        <is>
          <t>SURF EXCEL 2 KG</t>
        </is>
      </c>
      <c r="C453" s="15" t="inlineStr">
        <is>
          <t>Laundry &amp; Detergents</t>
        </is>
      </c>
      <c r="D453" s="15" t="inlineStr">
        <is>
          <t>Surf</t>
        </is>
      </c>
      <c r="E453" s="18" t="n">
        <v>1000</v>
      </c>
      <c r="F453" s="18" t="n">
        <v>1060</v>
      </c>
      <c r="G453" s="18">
        <f>F453-E453</f>
        <v/>
      </c>
      <c r="H453" s="29" t="n">
        <v>1</v>
      </c>
      <c r="I453" s="18">
        <f>E453*H453</f>
        <v/>
      </c>
      <c r="J453" s="18">
        <f>F453*H453</f>
        <v/>
      </c>
      <c r="K453" s="28">
        <f>IF(H453&lt;=0, "Out of Stock", IF(H453&lt;=5, "Low Stock", "In Stock"))</f>
        <v/>
      </c>
      <c r="L453" s="28" t="inlineStr">
        <is>
          <t>2025-08-04 09:01 AM</t>
        </is>
      </c>
    </row>
    <row r="454">
      <c r="A454" s="26" t="inlineStr">
        <is>
          <t>8961014264807</t>
        </is>
      </c>
      <c r="B454" s="10" t="inlineStr">
        <is>
          <t>SURF EXCEL 500GRAM</t>
        </is>
      </c>
      <c r="C454" s="10" t="inlineStr">
        <is>
          <t>Laundry &amp; Detergents</t>
        </is>
      </c>
      <c r="D454" s="10" t="inlineStr">
        <is>
          <t>Surf Excel</t>
        </is>
      </c>
      <c r="E454" s="13" t="n">
        <v>263</v>
      </c>
      <c r="F454" s="13" t="n">
        <v>290</v>
      </c>
      <c r="G454" s="13">
        <f>F454-E454</f>
        <v/>
      </c>
      <c r="H454" s="27" t="n">
        <v>23</v>
      </c>
      <c r="I454" s="13">
        <f>E454*H454</f>
        <v/>
      </c>
      <c r="J454" s="13">
        <f>F454*H454</f>
        <v/>
      </c>
      <c r="K454" s="26">
        <f>IF(H454&lt;=0, "Out of Stock", IF(H454&lt;=5, "Low Stock", "In Stock"))</f>
        <v/>
      </c>
      <c r="L454" s="26" t="inlineStr">
        <is>
          <t>2025-08-02 07:25 PM</t>
        </is>
      </c>
    </row>
    <row r="455">
      <c r="A455" s="28" t="inlineStr">
        <is>
          <t>8961014265521</t>
        </is>
      </c>
      <c r="B455" s="15" t="inlineStr">
        <is>
          <t>SURF EXCEL 1 KG</t>
        </is>
      </c>
      <c r="C455" s="15" t="inlineStr">
        <is>
          <t>Laundry &amp; Detergents</t>
        </is>
      </c>
      <c r="D455" s="15" t="inlineStr">
        <is>
          <t>Waashing Powder</t>
        </is>
      </c>
      <c r="E455" s="18" t="n">
        <v>489.97</v>
      </c>
      <c r="F455" s="18" t="n">
        <v>530</v>
      </c>
      <c r="G455" s="18">
        <f>F455-E455</f>
        <v/>
      </c>
      <c r="H455" s="29" t="n">
        <v>20</v>
      </c>
      <c r="I455" s="18">
        <f>E455*H455</f>
        <v/>
      </c>
      <c r="J455" s="18">
        <f>F455*H455</f>
        <v/>
      </c>
      <c r="K455" s="28">
        <f>IF(H455&lt;=0, "Out of Stock", IF(H455&lt;=5, "Low Stock", "In Stock"))</f>
        <v/>
      </c>
      <c r="L455" s="28" t="inlineStr">
        <is>
          <t>2025-07-18 12:22 PM</t>
        </is>
      </c>
    </row>
    <row r="456">
      <c r="A456" s="26" t="inlineStr">
        <is>
          <t>8886950011066</t>
        </is>
      </c>
      <c r="B456" s="10" t="inlineStr">
        <is>
          <t>BRIGHT WASHING POWDER 1 KG</t>
        </is>
      </c>
      <c r="C456" s="10" t="inlineStr">
        <is>
          <t>Laundry &amp; Detergents</t>
        </is>
      </c>
      <c r="D456" s="10" t="inlineStr">
        <is>
          <t>Washing Powder</t>
        </is>
      </c>
      <c r="E456" s="13" t="n">
        <v>487</v>
      </c>
      <c r="F456" s="13" t="n">
        <v>550</v>
      </c>
      <c r="G456" s="13">
        <f>F456-E456</f>
        <v/>
      </c>
      <c r="H456" s="27" t="n">
        <v>6</v>
      </c>
      <c r="I456" s="13">
        <f>E456*H456</f>
        <v/>
      </c>
      <c r="J456" s="13">
        <f>F456*H456</f>
        <v/>
      </c>
      <c r="K456" s="26">
        <f>IF(H456&lt;=0, "Out of Stock", IF(H456&lt;=5, "Low Stock", "In Stock"))</f>
        <v/>
      </c>
      <c r="L456" s="26" t="inlineStr">
        <is>
          <t>2025-07-18 12:16 PM</t>
        </is>
      </c>
    </row>
    <row r="457">
      <c r="A457" s="28" t="inlineStr">
        <is>
          <t>8886950011141</t>
        </is>
      </c>
      <c r="B457" s="15" t="inlineStr">
        <is>
          <t>BRIGHT WASHING POWDER 500G</t>
        </is>
      </c>
      <c r="C457" s="15" t="inlineStr">
        <is>
          <t>Laundry &amp; Detergents</t>
        </is>
      </c>
      <c r="D457" s="15" t="inlineStr">
        <is>
          <t>Washing Powder</t>
        </is>
      </c>
      <c r="E457" s="18" t="n">
        <v>244.13</v>
      </c>
      <c r="F457" s="18" t="n">
        <v>275</v>
      </c>
      <c r="G457" s="18">
        <f>F457-E457</f>
        <v/>
      </c>
      <c r="H457" s="29" t="n">
        <v>29</v>
      </c>
      <c r="I457" s="18">
        <f>E457*H457</f>
        <v/>
      </c>
      <c r="J457" s="18">
        <f>F457*H457</f>
        <v/>
      </c>
      <c r="K457" s="28">
        <f>IF(H457&lt;=0, "Out of Stock", IF(H457&lt;=5, "Low Stock", "In Stock"))</f>
        <v/>
      </c>
      <c r="L457" s="28" t="inlineStr">
        <is>
          <t>2025-07-18 12:15 PM</t>
        </is>
      </c>
    </row>
    <row r="458">
      <c r="A458" s="26" t="inlineStr">
        <is>
          <t>8886950012223</t>
        </is>
      </c>
      <c r="B458" s="10" t="inlineStr">
        <is>
          <t>EXPRESS POWER 500G</t>
        </is>
      </c>
      <c r="C458" s="10" t="inlineStr">
        <is>
          <t>Laundry &amp; Detergents</t>
        </is>
      </c>
      <c r="D458" s="10" t="inlineStr">
        <is>
          <t>Washing Powder</t>
        </is>
      </c>
      <c r="E458" s="13" t="n">
        <v>177</v>
      </c>
      <c r="F458" s="13" t="n">
        <v>200</v>
      </c>
      <c r="G458" s="13">
        <f>F458-E458</f>
        <v/>
      </c>
      <c r="H458" s="27" t="n">
        <v>34</v>
      </c>
      <c r="I458" s="13">
        <f>E458*H458</f>
        <v/>
      </c>
      <c r="J458" s="13">
        <f>F458*H458</f>
        <v/>
      </c>
      <c r="K458" s="26">
        <f>IF(H458&lt;=0, "Out of Stock", IF(H458&lt;=5, "Low Stock", "In Stock"))</f>
        <v/>
      </c>
      <c r="L458" s="26" t="inlineStr">
        <is>
          <t>2025-07-18 12:17 PM</t>
        </is>
      </c>
    </row>
    <row r="459">
      <c r="A459" s="28" t="inlineStr">
        <is>
          <t>8961014264760</t>
        </is>
      </c>
      <c r="B459" s="15" t="inlineStr">
        <is>
          <t>SURF EXCEL 18GRAM</t>
        </is>
      </c>
      <c r="C459" s="15" t="inlineStr">
        <is>
          <t>Laundry &amp; Detergents</t>
        </is>
      </c>
      <c r="D459" s="15" t="inlineStr">
        <is>
          <t>Washing Powder</t>
        </is>
      </c>
      <c r="E459" s="18" t="n">
        <v>8</v>
      </c>
      <c r="F459" s="18" t="n">
        <v>10</v>
      </c>
      <c r="G459" s="18">
        <f>F459-E459</f>
        <v/>
      </c>
      <c r="H459" s="29" t="n">
        <v>26</v>
      </c>
      <c r="I459" s="18">
        <f>E459*H459</f>
        <v/>
      </c>
      <c r="J459" s="18">
        <f>F459*H459</f>
        <v/>
      </c>
      <c r="K459" s="28">
        <f>IF(H459&lt;=0, "Out of Stock", IF(H459&lt;=5, "Low Stock", "In Stock"))</f>
        <v/>
      </c>
      <c r="L459" s="28" t="inlineStr">
        <is>
          <t>2025-07-18 12:38 PM</t>
        </is>
      </c>
    </row>
    <row r="460">
      <c r="A460" s="26" t="inlineStr">
        <is>
          <t>8961014264005</t>
        </is>
      </c>
      <c r="B460" s="10" t="inlineStr">
        <is>
          <t>SURF EXCEL 35 GM</t>
        </is>
      </c>
      <c r="C460" s="10" t="inlineStr">
        <is>
          <t>Laundry &amp; Detergents</t>
        </is>
      </c>
      <c r="D460" s="10" t="inlineStr">
        <is>
          <t>Washing Powder</t>
        </is>
      </c>
      <c r="E460" s="13" t="n">
        <v>18</v>
      </c>
      <c r="F460" s="13" t="n">
        <v>20</v>
      </c>
      <c r="G460" s="13">
        <f>F460-E460</f>
        <v/>
      </c>
      <c r="H460" s="27" t="n">
        <v>101</v>
      </c>
      <c r="I460" s="13">
        <f>E460*H460</f>
        <v/>
      </c>
      <c r="J460" s="13">
        <f>F460*H460</f>
        <v/>
      </c>
      <c r="K460" s="26">
        <f>IF(H460&lt;=0, "Out of Stock", IF(H460&lt;=5, "Low Stock", "In Stock"))</f>
        <v/>
      </c>
      <c r="L460" s="26" t="inlineStr">
        <is>
          <t>2025-07-18 12:44 PM</t>
        </is>
      </c>
    </row>
    <row r="461">
      <c r="A461" s="28" t="inlineStr">
        <is>
          <t>8961014264784</t>
        </is>
      </c>
      <c r="B461" s="15" t="inlineStr">
        <is>
          <t>SURF EXCEL 95GM</t>
        </is>
      </c>
      <c r="C461" s="15" t="inlineStr">
        <is>
          <t>Laundry &amp; Detergents</t>
        </is>
      </c>
      <c r="D461" s="15" t="inlineStr">
        <is>
          <t>Washing Powder</t>
        </is>
      </c>
      <c r="E461" s="18" t="n">
        <v>45</v>
      </c>
      <c r="F461" s="18" t="n">
        <v>50</v>
      </c>
      <c r="G461" s="18">
        <f>F461-E461</f>
        <v/>
      </c>
      <c r="H461" s="29" t="n">
        <v>8</v>
      </c>
      <c r="I461" s="18">
        <f>E461*H461</f>
        <v/>
      </c>
      <c r="J461" s="18">
        <f>F461*H461</f>
        <v/>
      </c>
      <c r="K461" s="28">
        <f>IF(H461&lt;=0, "Out of Stock", IF(H461&lt;=5, "Low Stock", "In Stock"))</f>
        <v/>
      </c>
      <c r="L461" s="28" t="inlineStr">
        <is>
          <t>2025-07-18 12:46 PM</t>
        </is>
      </c>
    </row>
    <row r="462">
      <c r="A462" s="26" t="inlineStr">
        <is>
          <t>6260942600070</t>
        </is>
      </c>
      <c r="B462" s="10" t="inlineStr">
        <is>
          <t>SHAYAN CANNED BEANS</t>
        </is>
      </c>
      <c r="C462" s="10" t="inlineStr">
        <is>
          <t>Lentils &amp; Pulses</t>
        </is>
      </c>
      <c r="D462" s="10" t="inlineStr">
        <is>
          <t>Beans</t>
        </is>
      </c>
      <c r="E462" s="13" t="n">
        <v>184</v>
      </c>
      <c r="F462" s="13" t="n">
        <v>250</v>
      </c>
      <c r="G462" s="13">
        <f>F462-E462</f>
        <v/>
      </c>
      <c r="H462" s="27" t="n">
        <v>21</v>
      </c>
      <c r="I462" s="13">
        <f>E462*H462</f>
        <v/>
      </c>
      <c r="J462" s="13">
        <f>F462*H462</f>
        <v/>
      </c>
      <c r="K462" s="26">
        <f>IF(H462&lt;=0, "Out of Stock", IF(H462&lt;=5, "Low Stock", "In Stock"))</f>
        <v/>
      </c>
      <c r="L462" s="26" t="inlineStr">
        <is>
          <t>2025-07-17 07:39 AM</t>
        </is>
      </c>
    </row>
    <row r="463">
      <c r="A463" s="28" t="inlineStr">
        <is>
          <t>8964000182420</t>
        </is>
      </c>
      <c r="B463" s="15" t="inlineStr">
        <is>
          <t>CLASSIC CHOICE DAAL MONG</t>
        </is>
      </c>
      <c r="C463" s="15" t="inlineStr">
        <is>
          <t>Lentils &amp; Pulses</t>
        </is>
      </c>
      <c r="D463" s="15" t="inlineStr">
        <is>
          <t>Daal Mong</t>
        </is>
      </c>
      <c r="E463" s="18" t="n">
        <v>18</v>
      </c>
      <c r="F463" s="18" t="n">
        <v>20</v>
      </c>
      <c r="G463" s="18">
        <f>F463-E463</f>
        <v/>
      </c>
      <c r="H463" s="29" t="n">
        <v>18</v>
      </c>
      <c r="I463" s="18">
        <f>E463*H463</f>
        <v/>
      </c>
      <c r="J463" s="18">
        <f>F463*H463</f>
        <v/>
      </c>
      <c r="K463" s="28">
        <f>IF(H463&lt;=0, "Out of Stock", IF(H463&lt;=5, "Low Stock", "In Stock"))</f>
        <v/>
      </c>
      <c r="L463" s="28" t="inlineStr">
        <is>
          <t>2025-07-31 10:29 AM</t>
        </is>
      </c>
    </row>
    <row r="464">
      <c r="A464" s="26" t="inlineStr">
        <is>
          <t>4710970324278</t>
        </is>
      </c>
      <c r="B464" s="10" t="inlineStr">
        <is>
          <t>HEART TREAT NIMKO MIX</t>
        </is>
      </c>
      <c r="C464" s="10" t="inlineStr">
        <is>
          <t>Lentils &amp; Pulses</t>
        </is>
      </c>
      <c r="D464" s="10" t="inlineStr">
        <is>
          <t>Daal Mong</t>
        </is>
      </c>
      <c r="E464" s="13" t="n">
        <v>36</v>
      </c>
      <c r="F464" s="13" t="n">
        <v>50</v>
      </c>
      <c r="G464" s="13">
        <f>F464-E464</f>
        <v/>
      </c>
      <c r="H464" s="27" t="n">
        <v>20</v>
      </c>
      <c r="I464" s="13">
        <f>E464*H464</f>
        <v/>
      </c>
      <c r="J464" s="13">
        <f>F464*H464</f>
        <v/>
      </c>
      <c r="K464" s="26">
        <f>IF(H464&lt;=0, "Out of Stock", IF(H464&lt;=5, "Low Stock", "In Stock"))</f>
        <v/>
      </c>
      <c r="L464" s="26" t="inlineStr">
        <is>
          <t>2025-07-31 10:31 AM</t>
        </is>
      </c>
    </row>
    <row r="465">
      <c r="A465" s="28" t="inlineStr">
        <is>
          <t>8964000182413</t>
        </is>
      </c>
      <c r="B465" s="15" t="inlineStr">
        <is>
          <t>PAK KASHMIR DAAL MONG</t>
        </is>
      </c>
      <c r="C465" s="15" t="inlineStr">
        <is>
          <t>Lentils &amp; Pulses</t>
        </is>
      </c>
      <c r="D465" s="15" t="inlineStr">
        <is>
          <t>Daal Mong</t>
        </is>
      </c>
      <c r="E465" s="18" t="n">
        <v>18</v>
      </c>
      <c r="F465" s="18" t="n">
        <v>20</v>
      </c>
      <c r="G465" s="18">
        <f>F465-E465</f>
        <v/>
      </c>
      <c r="H465" s="29" t="n">
        <v>11</v>
      </c>
      <c r="I465" s="18">
        <f>E465*H465</f>
        <v/>
      </c>
      <c r="J465" s="18">
        <f>F465*H465</f>
        <v/>
      </c>
      <c r="K465" s="28">
        <f>IF(H465&lt;=0, "Out of Stock", IF(H465&lt;=5, "Low Stock", "In Stock"))</f>
        <v/>
      </c>
      <c r="L465" s="28" t="inlineStr">
        <is>
          <t>2025-07-31 10:30 AM</t>
        </is>
      </c>
    </row>
    <row r="466">
      <c r="A466" s="26" t="inlineStr">
        <is>
          <t>PROD-20250714-1921CHANA</t>
        </is>
      </c>
      <c r="B466" s="10" t="inlineStr">
        <is>
          <t>CHANA WHITE</t>
        </is>
      </c>
      <c r="C466" s="10" t="inlineStr">
        <is>
          <t>Lentils &amp; Pulses</t>
        </is>
      </c>
      <c r="D466" s="10" t="inlineStr">
        <is>
          <t>Pulses</t>
        </is>
      </c>
      <c r="E466" s="13" t="n">
        <v>300</v>
      </c>
      <c r="F466" s="13" t="n">
        <v>380</v>
      </c>
      <c r="G466" s="13">
        <f>F466-E466</f>
        <v/>
      </c>
      <c r="H466" s="27" t="n">
        <v>19.17</v>
      </c>
      <c r="I466" s="13">
        <f>E466*H466</f>
        <v/>
      </c>
      <c r="J466" s="13">
        <f>F466*H466</f>
        <v/>
      </c>
      <c r="K466" s="26">
        <f>IF(H466&lt;=0, "Out of Stock", IF(H466&lt;=5, "Low Stock", "In Stock"))</f>
        <v/>
      </c>
      <c r="L466" s="26" t="inlineStr">
        <is>
          <t>2025-07-14 02:24 PM</t>
        </is>
      </c>
    </row>
    <row r="467">
      <c r="A467" s="28" t="inlineStr">
        <is>
          <t>PROD-20250714-DDS LOBIA</t>
        </is>
      </c>
      <c r="B467" s="15" t="inlineStr">
        <is>
          <t>D.D.S LOBIA</t>
        </is>
      </c>
      <c r="C467" s="15" t="inlineStr">
        <is>
          <t>Lentils &amp; Pulses</t>
        </is>
      </c>
      <c r="D467" s="15" t="inlineStr">
        <is>
          <t>Pulses</t>
        </is>
      </c>
      <c r="E467" s="18" t="n">
        <v>355</v>
      </c>
      <c r="F467" s="18" t="n">
        <v>450</v>
      </c>
      <c r="G467" s="18">
        <f>F467-E467</f>
        <v/>
      </c>
      <c r="H467" s="29" t="n">
        <v>20.76</v>
      </c>
      <c r="I467" s="18">
        <f>E467*H467</f>
        <v/>
      </c>
      <c r="J467" s="18">
        <f>F467*H467</f>
        <v/>
      </c>
      <c r="K467" s="28">
        <f>IF(H467&lt;=0, "Out of Stock", IF(H467&lt;=5, "Low Stock", "In Stock"))</f>
        <v/>
      </c>
      <c r="L467" s="28" t="inlineStr">
        <is>
          <t>2025-07-14 02:14 PM</t>
        </is>
      </c>
    </row>
    <row r="468">
      <c r="A468" s="26" t="inlineStr">
        <is>
          <t>PROD-20250714-DAAL CHANA</t>
        </is>
      </c>
      <c r="B468" s="10" t="inlineStr">
        <is>
          <t>DAAL CHANA</t>
        </is>
      </c>
      <c r="C468" s="10" t="inlineStr">
        <is>
          <t>Lentils &amp; Pulses</t>
        </is>
      </c>
      <c r="D468" s="10" t="inlineStr">
        <is>
          <t>Pulses</t>
        </is>
      </c>
      <c r="E468" s="13" t="n">
        <v>270</v>
      </c>
      <c r="F468" s="13" t="n">
        <v>330</v>
      </c>
      <c r="G468" s="13">
        <f>F468-E468</f>
        <v/>
      </c>
      <c r="H468" s="27" t="n">
        <v>2.09</v>
      </c>
      <c r="I468" s="13">
        <f>E468*H468</f>
        <v/>
      </c>
      <c r="J468" s="13">
        <f>F468*H468</f>
        <v/>
      </c>
      <c r="K468" s="26">
        <f>IF(H468&lt;=0, "Out of Stock", IF(H468&lt;=5, "Low Stock", "In Stock"))</f>
        <v/>
      </c>
      <c r="L468" s="26" t="inlineStr">
        <is>
          <t>2025-07-14 02:12 PM</t>
        </is>
      </c>
    </row>
    <row r="469">
      <c r="A469" s="28" t="inlineStr">
        <is>
          <t>PROD-20250714-191718-DAAL</t>
        </is>
      </c>
      <c r="B469" s="15" t="inlineStr">
        <is>
          <t>DAAL MAASH</t>
        </is>
      </c>
      <c r="C469" s="15" t="inlineStr">
        <is>
          <t>Lentils &amp; Pulses</t>
        </is>
      </c>
      <c r="D469" s="15" t="inlineStr">
        <is>
          <t>Pulses</t>
        </is>
      </c>
      <c r="E469" s="18" t="n">
        <v>375</v>
      </c>
      <c r="F469" s="18" t="n">
        <v>430</v>
      </c>
      <c r="G469" s="18">
        <f>F469-E469</f>
        <v/>
      </c>
      <c r="H469" s="29" t="n">
        <v>18.42</v>
      </c>
      <c r="I469" s="18">
        <f>E469*H469</f>
        <v/>
      </c>
      <c r="J469" s="18">
        <f>F469*H469</f>
        <v/>
      </c>
      <c r="K469" s="28">
        <f>IF(H469&lt;=0, "Out of Stock", IF(H469&lt;=5, "Low Stock", "In Stock"))</f>
        <v/>
      </c>
      <c r="L469" s="28" t="inlineStr">
        <is>
          <t>2025-07-14 02:21 PM</t>
        </is>
      </c>
    </row>
    <row r="470">
      <c r="A470" s="26" t="inlineStr">
        <is>
          <t>PROD-20250714-19240 DAAL MA</t>
        </is>
      </c>
      <c r="B470" s="10" t="inlineStr">
        <is>
          <t>DAAL MASOOR</t>
        </is>
      </c>
      <c r="C470" s="10" t="inlineStr">
        <is>
          <t>Lentils &amp; Pulses</t>
        </is>
      </c>
      <c r="D470" s="10" t="inlineStr">
        <is>
          <t>Pulses</t>
        </is>
      </c>
      <c r="E470" s="13" t="n">
        <v>260</v>
      </c>
      <c r="F470" s="13" t="n">
        <v>320</v>
      </c>
      <c r="G470" s="13">
        <f>F470-E470</f>
        <v/>
      </c>
      <c r="H470" s="27" t="n">
        <v>14</v>
      </c>
      <c r="I470" s="13">
        <f>E470*H470</f>
        <v/>
      </c>
      <c r="J470" s="13">
        <f>F470*H470</f>
        <v/>
      </c>
      <c r="K470" s="26">
        <f>IF(H470&lt;=0, "Out of Stock", IF(H470&lt;=5, "Low Stock", "In Stock"))</f>
        <v/>
      </c>
      <c r="L470" s="26" t="inlineStr">
        <is>
          <t>2025-07-14 02:25 PM</t>
        </is>
      </c>
    </row>
    <row r="471">
      <c r="A471" s="28" t="inlineStr">
        <is>
          <t>PROD-20250714-LOBIA</t>
        </is>
      </c>
      <c r="B471" s="15" t="inlineStr">
        <is>
          <t>LOBIA BEANS</t>
        </is>
      </c>
      <c r="C471" s="15" t="inlineStr">
        <is>
          <t>Lentils &amp; Pulses</t>
        </is>
      </c>
      <c r="D471" s="15" t="inlineStr">
        <is>
          <t>Pulses</t>
        </is>
      </c>
      <c r="E471" s="18" t="n">
        <v>520</v>
      </c>
      <c r="F471" s="18" t="n">
        <v>600</v>
      </c>
      <c r="G471" s="18">
        <f>F471-E471</f>
        <v/>
      </c>
      <c r="H471" s="29" t="n">
        <v>9.609999999999999</v>
      </c>
      <c r="I471" s="18">
        <f>E471*H471</f>
        <v/>
      </c>
      <c r="J471" s="18">
        <f>F471*H471</f>
        <v/>
      </c>
      <c r="K471" s="28">
        <f>IF(H471&lt;=0, "Out of Stock", IF(H471&lt;=5, "Low Stock", "In Stock"))</f>
        <v/>
      </c>
      <c r="L471" s="28" t="inlineStr">
        <is>
          <t>2025-07-14 02:11 PM</t>
        </is>
      </c>
    </row>
    <row r="472">
      <c r="A472" s="26" t="inlineStr">
        <is>
          <t>PROD-20250714-122</t>
        </is>
      </c>
      <c r="B472" s="10" t="inlineStr">
        <is>
          <t>MOONG SABAT GREEN GRAM WHOLE</t>
        </is>
      </c>
      <c r="C472" s="10" t="inlineStr">
        <is>
          <t>Lentils &amp; Pulses</t>
        </is>
      </c>
      <c r="D472" s="10" t="inlineStr">
        <is>
          <t>Pulses</t>
        </is>
      </c>
      <c r="E472" s="13" t="n">
        <v>340</v>
      </c>
      <c r="F472" s="13" t="n">
        <v>400</v>
      </c>
      <c r="G472" s="13">
        <f>F472-E472</f>
        <v/>
      </c>
      <c r="H472" s="27" t="n">
        <v>9.199999999999999</v>
      </c>
      <c r="I472" s="13">
        <f>E472*H472</f>
        <v/>
      </c>
      <c r="J472" s="13">
        <f>F472*H472</f>
        <v/>
      </c>
      <c r="K472" s="26">
        <f>IF(H472&lt;=0, "Out of Stock", IF(H472&lt;=5, "Low Stock", "In Stock"))</f>
        <v/>
      </c>
      <c r="L472" s="26" t="inlineStr">
        <is>
          <t>2025-07-14 02:17 PM</t>
        </is>
      </c>
    </row>
    <row r="473">
      <c r="A473" s="28" t="inlineStr">
        <is>
          <t>PROD-20250714-1925 SUGER</t>
        </is>
      </c>
      <c r="B473" s="15" t="inlineStr">
        <is>
          <t>SUGER WHITE</t>
        </is>
      </c>
      <c r="C473" s="15" t="inlineStr">
        <is>
          <t>Lentils &amp; Pulses</t>
        </is>
      </c>
      <c r="D473" s="15" t="inlineStr">
        <is>
          <t>Pulses</t>
        </is>
      </c>
      <c r="E473" s="18" t="n">
        <v>177.33</v>
      </c>
      <c r="F473" s="18" t="n">
        <v>190</v>
      </c>
      <c r="G473" s="18">
        <f>F473-E473</f>
        <v/>
      </c>
      <c r="H473" s="29" t="n">
        <v>55.4769999999999</v>
      </c>
      <c r="I473" s="18">
        <f>E473*H473</f>
        <v/>
      </c>
      <c r="J473" s="18">
        <f>F473*H473</f>
        <v/>
      </c>
      <c r="K473" s="28">
        <f>IF(H473&lt;=0, "Out of Stock", IF(H473&lt;=5, "Low Stock", "In Stock"))</f>
        <v/>
      </c>
      <c r="L473" s="28" t="inlineStr">
        <is>
          <t>2025-07-14 02:34 PM</t>
        </is>
      </c>
    </row>
    <row r="474">
      <c r="A474" s="26" t="inlineStr">
        <is>
          <t>PROD-20250712-122</t>
        </is>
      </c>
      <c r="B474" s="10" t="inlineStr">
        <is>
          <t>Arco Lighter</t>
        </is>
      </c>
      <c r="C474" s="10" t="inlineStr">
        <is>
          <t>Lighter</t>
        </is>
      </c>
      <c r="D474" s="10" t="inlineStr">
        <is>
          <t>Lighter</t>
        </is>
      </c>
      <c r="E474" s="13" t="n">
        <v>96</v>
      </c>
      <c r="F474" s="13" t="n">
        <v>150</v>
      </c>
      <c r="G474" s="13">
        <f>F474-E474</f>
        <v/>
      </c>
      <c r="H474" s="27" t="n">
        <v>14</v>
      </c>
      <c r="I474" s="13">
        <f>E474*H474</f>
        <v/>
      </c>
      <c r="J474" s="13">
        <f>F474*H474</f>
        <v/>
      </c>
      <c r="K474" s="26">
        <f>IF(H474&lt;=0, "Out of Stock", IF(H474&lt;=5, "Low Stock", "In Stock"))</f>
        <v/>
      </c>
      <c r="L474" s="26" t="inlineStr">
        <is>
          <t>2025-07-12 08:09 PM</t>
        </is>
      </c>
    </row>
    <row r="475">
      <c r="A475" s="28" t="inlineStr">
        <is>
          <t>PROD-20250712-Lighter</t>
        </is>
      </c>
      <c r="B475" s="15" t="inlineStr">
        <is>
          <t>HMD Lighter</t>
        </is>
      </c>
      <c r="C475" s="15" t="inlineStr">
        <is>
          <t>Lighter</t>
        </is>
      </c>
      <c r="D475" s="15" t="inlineStr">
        <is>
          <t>Lighter</t>
        </is>
      </c>
      <c r="E475" s="18" t="n">
        <v>15</v>
      </c>
      <c r="F475" s="18" t="n">
        <v>30</v>
      </c>
      <c r="G475" s="18">
        <f>F475-E475</f>
        <v/>
      </c>
      <c r="H475" s="29" t="n">
        <v>106</v>
      </c>
      <c r="I475" s="18">
        <f>E475*H475</f>
        <v/>
      </c>
      <c r="J475" s="18">
        <f>F475*H475</f>
        <v/>
      </c>
      <c r="K475" s="28">
        <f>IF(H475&lt;=0, "Out of Stock", IF(H475&lt;=5, "Low Stock", "In Stock"))</f>
        <v/>
      </c>
      <c r="L475" s="28" t="inlineStr">
        <is>
          <t>2025-07-12 08:07 PM</t>
        </is>
      </c>
    </row>
    <row r="476">
      <c r="A476" s="26" t="inlineStr">
        <is>
          <t>PROD-20250717-145923-NEW</t>
        </is>
      </c>
      <c r="B476" s="10" t="inlineStr">
        <is>
          <t>LIP CREAM</t>
        </is>
      </c>
      <c r="C476" s="10" t="inlineStr">
        <is>
          <t>Lip Cream</t>
        </is>
      </c>
      <c r="D476" s="10" t="inlineStr">
        <is>
          <t>Lip Cream</t>
        </is>
      </c>
      <c r="E476" s="13" t="n">
        <v>30</v>
      </c>
      <c r="F476" s="13" t="n">
        <v>50</v>
      </c>
      <c r="G476" s="13">
        <f>F476-E476</f>
        <v/>
      </c>
      <c r="H476" s="27" t="n">
        <v>9</v>
      </c>
      <c r="I476" s="13">
        <f>E476*H476</f>
        <v/>
      </c>
      <c r="J476" s="13">
        <f>F476*H476</f>
        <v/>
      </c>
      <c r="K476" s="26">
        <f>IF(H476&lt;=0, "Out of Stock", IF(H476&lt;=5, "Low Stock", "In Stock"))</f>
        <v/>
      </c>
      <c r="L476" s="26" t="inlineStr">
        <is>
          <t>2025-07-17 10:00 AM</t>
        </is>
      </c>
    </row>
    <row r="477">
      <c r="A477" s="28" t="inlineStr">
        <is>
          <t>6001106309428</t>
        </is>
      </c>
      <c r="B477" s="15" t="inlineStr">
        <is>
          <t>DETTOL LIQUID</t>
        </is>
      </c>
      <c r="C477" s="15" t="inlineStr">
        <is>
          <t>Liquid</t>
        </is>
      </c>
      <c r="D477" s="15" t="inlineStr">
        <is>
          <t>Liquid</t>
        </is>
      </c>
      <c r="E477" s="18" t="n">
        <v>230</v>
      </c>
      <c r="F477" s="18" t="n">
        <v>260</v>
      </c>
      <c r="G477" s="18">
        <f>F477-E477</f>
        <v/>
      </c>
      <c r="H477" s="29" t="n">
        <v>20</v>
      </c>
      <c r="I477" s="18">
        <f>E477*H477</f>
        <v/>
      </c>
      <c r="J477" s="18">
        <f>F477*H477</f>
        <v/>
      </c>
      <c r="K477" s="28">
        <f>IF(H477&lt;=0, "Out of Stock", IF(H477&lt;=5, "Low Stock", "In Stock"))</f>
        <v/>
      </c>
      <c r="L477" s="28" t="inlineStr">
        <is>
          <t>2025-07-14 04:06 PM</t>
        </is>
      </c>
    </row>
    <row r="478">
      <c r="A478" s="26" t="inlineStr">
        <is>
          <t>62610050240154</t>
        </is>
      </c>
      <c r="B478" s="10" t="inlineStr">
        <is>
          <t>YEKTA DISHWASHING LIQUID</t>
        </is>
      </c>
      <c r="C478" s="10" t="inlineStr">
        <is>
          <t>Liquid</t>
        </is>
      </c>
      <c r="D478" s="10" t="inlineStr">
        <is>
          <t>Liquid</t>
        </is>
      </c>
      <c r="E478" s="13" t="n">
        <v>280</v>
      </c>
      <c r="F478" s="13" t="n">
        <v>380</v>
      </c>
      <c r="G478" s="13">
        <f>F478-E478</f>
        <v/>
      </c>
      <c r="H478" s="27" t="n">
        <v>12</v>
      </c>
      <c r="I478" s="13">
        <f>E478*H478</f>
        <v/>
      </c>
      <c r="J478" s="13">
        <f>F478*H478</f>
        <v/>
      </c>
      <c r="K478" s="26">
        <f>IF(H478&lt;=0, "Out of Stock", IF(H478&lt;=5, "Low Stock", "In Stock"))</f>
        <v/>
      </c>
      <c r="L478" s="26" t="inlineStr">
        <is>
          <t>2025-07-15 08:58 AM</t>
        </is>
      </c>
    </row>
    <row r="479">
      <c r="A479" s="28" t="inlineStr">
        <is>
          <t>8966601379971</t>
        </is>
      </c>
      <c r="B479" s="15" t="inlineStr">
        <is>
          <t>GERMI CURE HAND WASH</t>
        </is>
      </c>
      <c r="C479" s="15" t="inlineStr">
        <is>
          <t>Liquid Hand Wash</t>
        </is>
      </c>
      <c r="D479" s="15" t="inlineStr">
        <is>
          <t>Liquid Hand Wash</t>
        </is>
      </c>
      <c r="E479" s="18" t="n">
        <v>250</v>
      </c>
      <c r="F479" s="18" t="n">
        <v>300</v>
      </c>
      <c r="G479" s="18">
        <f>F479-E479</f>
        <v/>
      </c>
      <c r="H479" s="29" t="n">
        <v>3</v>
      </c>
      <c r="I479" s="18">
        <f>E479*H479</f>
        <v/>
      </c>
      <c r="J479" s="18">
        <f>F479*H479</f>
        <v/>
      </c>
      <c r="K479" s="28">
        <f>IF(H479&lt;=0, "Out of Stock", IF(H479&lt;=5, "Low Stock", "In Stock"))</f>
        <v/>
      </c>
      <c r="L479" s="28" t="inlineStr">
        <is>
          <t>2025-07-14 03:25 PM</t>
        </is>
      </c>
    </row>
    <row r="480">
      <c r="A480" s="26" t="inlineStr">
        <is>
          <t>PROD-20250712-010108-Lock 30</t>
        </is>
      </c>
      <c r="B480" s="10" t="inlineStr">
        <is>
          <t>Lock 30mm Weishan</t>
        </is>
      </c>
      <c r="C480" s="10" t="inlineStr">
        <is>
          <t>Lock</t>
        </is>
      </c>
      <c r="D480" s="10" t="inlineStr">
        <is>
          <t>Lock</t>
        </is>
      </c>
      <c r="E480" s="13" t="n">
        <v>120</v>
      </c>
      <c r="F480" s="13" t="n">
        <v>150</v>
      </c>
      <c r="G480" s="13">
        <f>F480-E480</f>
        <v/>
      </c>
      <c r="H480" s="27" t="n">
        <v>2</v>
      </c>
      <c r="I480" s="13">
        <f>E480*H480</f>
        <v/>
      </c>
      <c r="J480" s="13">
        <f>F480*H480</f>
        <v/>
      </c>
      <c r="K480" s="26">
        <f>IF(H480&lt;=0, "Out of Stock", IF(H480&lt;=5, "Low Stock", "In Stock"))</f>
        <v/>
      </c>
      <c r="L480" s="26" t="inlineStr">
        <is>
          <t>2025-07-12 08:01 PM</t>
        </is>
      </c>
    </row>
    <row r="481">
      <c r="A481" s="28" t="inlineStr">
        <is>
          <t>PROD-20250712-010331</t>
        </is>
      </c>
      <c r="B481" s="15" t="inlineStr">
        <is>
          <t>Lock 32mm Tri Romb</t>
        </is>
      </c>
      <c r="C481" s="15" t="inlineStr">
        <is>
          <t>Lock</t>
        </is>
      </c>
      <c r="D481" s="15" t="inlineStr">
        <is>
          <t>Lock</t>
        </is>
      </c>
      <c r="E481" s="18" t="n">
        <v>120</v>
      </c>
      <c r="F481" s="18" t="n">
        <v>150</v>
      </c>
      <c r="G481" s="18">
        <f>F481-E481</f>
        <v/>
      </c>
      <c r="H481" s="29" t="n">
        <v>1</v>
      </c>
      <c r="I481" s="18">
        <f>E481*H481</f>
        <v/>
      </c>
      <c r="J481" s="18">
        <f>F481*H481</f>
        <v/>
      </c>
      <c r="K481" s="28">
        <f>IF(H481&lt;=0, "Out of Stock", IF(H481&lt;=5, "Low Stock", "In Stock"))</f>
        <v/>
      </c>
      <c r="L481" s="28" t="inlineStr">
        <is>
          <t>2025-07-12 08:04 PM</t>
        </is>
      </c>
    </row>
    <row r="482">
      <c r="A482" s="26" t="inlineStr">
        <is>
          <t>PROD-20250712-010430-NEW</t>
        </is>
      </c>
      <c r="B482" s="10" t="inlineStr">
        <is>
          <t>Lock 38mm Say Ying</t>
        </is>
      </c>
      <c r="C482" s="10" t="inlineStr">
        <is>
          <t>Lock</t>
        </is>
      </c>
      <c r="D482" s="10" t="inlineStr">
        <is>
          <t>Lock</t>
        </is>
      </c>
      <c r="E482" s="13" t="n">
        <v>150</v>
      </c>
      <c r="F482" s="13" t="n">
        <v>180</v>
      </c>
      <c r="G482" s="13">
        <f>F482-E482</f>
        <v/>
      </c>
      <c r="H482" s="27" t="n">
        <v>6</v>
      </c>
      <c r="I482" s="13">
        <f>E482*H482</f>
        <v/>
      </c>
      <c r="J482" s="13">
        <f>F482*H482</f>
        <v/>
      </c>
      <c r="K482" s="26">
        <f>IF(H482&lt;=0, "Out of Stock", IF(H482&lt;=5, "Low Stock", "In Stock"))</f>
        <v/>
      </c>
      <c r="L482" s="26" t="inlineStr">
        <is>
          <t>2025-07-12 08:05 PM</t>
        </is>
      </c>
    </row>
    <row r="483">
      <c r="A483" s="28" t="inlineStr">
        <is>
          <t>6971160881027</t>
        </is>
      </c>
      <c r="B483" s="15" t="inlineStr">
        <is>
          <t>Lock 40mm Weishan</t>
        </is>
      </c>
      <c r="C483" s="15" t="inlineStr">
        <is>
          <t>Lock</t>
        </is>
      </c>
      <c r="D483" s="15" t="inlineStr">
        <is>
          <t>Lock</t>
        </is>
      </c>
      <c r="E483" s="18" t="n">
        <v>200</v>
      </c>
      <c r="F483" s="18" t="n">
        <v>250</v>
      </c>
      <c r="G483" s="18">
        <f>F483-E483</f>
        <v/>
      </c>
      <c r="H483" s="29" t="n">
        <v>5</v>
      </c>
      <c r="I483" s="18">
        <f>E483*H483</f>
        <v/>
      </c>
      <c r="J483" s="18">
        <f>F483*H483</f>
        <v/>
      </c>
      <c r="K483" s="28">
        <f>IF(H483&lt;=0, "Out of Stock", IF(H483&lt;=5, "Low Stock", "In Stock"))</f>
        <v/>
      </c>
      <c r="L483" s="28" t="inlineStr">
        <is>
          <t>2025-07-12 07:59 PM</t>
        </is>
      </c>
    </row>
    <row r="484">
      <c r="A484" s="26" t="inlineStr">
        <is>
          <t>PROD-20250712-010216</t>
        </is>
      </c>
      <c r="B484" s="10" t="inlineStr">
        <is>
          <t>Lock 50mm Tri Crane</t>
        </is>
      </c>
      <c r="C484" s="10" t="inlineStr">
        <is>
          <t>Lock</t>
        </is>
      </c>
      <c r="D484" s="10" t="inlineStr">
        <is>
          <t>Lock</t>
        </is>
      </c>
      <c r="E484" s="13" t="n">
        <v>208</v>
      </c>
      <c r="F484" s="13" t="n">
        <v>260</v>
      </c>
      <c r="G484" s="13">
        <f>F484-E484</f>
        <v/>
      </c>
      <c r="H484" s="27" t="n">
        <v>6</v>
      </c>
      <c r="I484" s="13">
        <f>E484*H484</f>
        <v/>
      </c>
      <c r="J484" s="13">
        <f>F484*H484</f>
        <v/>
      </c>
      <c r="K484" s="26">
        <f>IF(H484&lt;=0, "Out of Stock", IF(H484&lt;=5, "Low Stock", "In Stock"))</f>
        <v/>
      </c>
      <c r="L484" s="26" t="inlineStr">
        <is>
          <t>2025-07-12 08:03 PM</t>
        </is>
      </c>
    </row>
    <row r="485">
      <c r="A485" s="28" t="inlineStr">
        <is>
          <t>6971160881034</t>
        </is>
      </c>
      <c r="B485" s="15" t="inlineStr">
        <is>
          <t>Lock 50mm Weishan</t>
        </is>
      </c>
      <c r="C485" s="15" t="inlineStr">
        <is>
          <t>Lock</t>
        </is>
      </c>
      <c r="D485" s="15" t="inlineStr">
        <is>
          <t>Lock</t>
        </is>
      </c>
      <c r="E485" s="18" t="n">
        <v>260</v>
      </c>
      <c r="F485" s="18" t="n">
        <v>320</v>
      </c>
      <c r="G485" s="18">
        <f>F485-E485</f>
        <v/>
      </c>
      <c r="H485" s="29" t="n">
        <v>6</v>
      </c>
      <c r="I485" s="18">
        <f>E485*H485</f>
        <v/>
      </c>
      <c r="J485" s="18">
        <f>F485*H485</f>
        <v/>
      </c>
      <c r="K485" s="28">
        <f>IF(H485&lt;=0, "Out of Stock", IF(H485&lt;=5, "Low Stock", "In Stock"))</f>
        <v/>
      </c>
      <c r="L485" s="28" t="inlineStr">
        <is>
          <t>2025-07-12 08:00 PM</t>
        </is>
      </c>
    </row>
    <row r="486">
      <c r="A486" s="26" t="inlineStr">
        <is>
          <t>6924056832061</t>
        </is>
      </c>
      <c r="B486" s="10" t="inlineStr">
        <is>
          <t>MOREFAST LOTION</t>
        </is>
      </c>
      <c r="C486" s="10" t="inlineStr">
        <is>
          <t>Lotion</t>
        </is>
      </c>
      <c r="D486" s="10" t="inlineStr">
        <is>
          <t>Lotion</t>
        </is>
      </c>
      <c r="E486" s="13" t="n">
        <v>120</v>
      </c>
      <c r="F486" s="13" t="n">
        <v>150</v>
      </c>
      <c r="G486" s="13">
        <f>F486-E486</f>
        <v/>
      </c>
      <c r="H486" s="27" t="n">
        <v>4</v>
      </c>
      <c r="I486" s="13">
        <f>E486*H486</f>
        <v/>
      </c>
      <c r="J486" s="13">
        <f>F486*H486</f>
        <v/>
      </c>
      <c r="K486" s="26">
        <f>IF(H486&lt;=0, "Out of Stock", IF(H486&lt;=5, "Low Stock", "In Stock"))</f>
        <v/>
      </c>
      <c r="L486" s="26" t="inlineStr">
        <is>
          <t>2025-07-20 05:36 PM</t>
        </is>
      </c>
    </row>
    <row r="487">
      <c r="A487" s="28" t="inlineStr">
        <is>
          <t>1358946338404</t>
        </is>
      </c>
      <c r="B487" s="15" t="inlineStr">
        <is>
          <t>BAKE PARLOR MACARONI</t>
        </is>
      </c>
      <c r="C487" s="15" t="inlineStr">
        <is>
          <t>Macaroni</t>
        </is>
      </c>
      <c r="D487" s="15" t="inlineStr">
        <is>
          <t>Macaroni</t>
        </is>
      </c>
      <c r="E487" s="18" t="n">
        <v>180</v>
      </c>
      <c r="F487" s="18" t="n">
        <v>230</v>
      </c>
      <c r="G487" s="18">
        <f>F487-E487</f>
        <v/>
      </c>
      <c r="H487" s="29" t="n">
        <v>12</v>
      </c>
      <c r="I487" s="18">
        <f>E487*H487</f>
        <v/>
      </c>
      <c r="J487" s="18">
        <f>F487*H487</f>
        <v/>
      </c>
      <c r="K487" s="28">
        <f>IF(H487&lt;=0, "Out of Stock", IF(H487&lt;=5, "Low Stock", "In Stock"))</f>
        <v/>
      </c>
      <c r="L487" s="28" t="inlineStr">
        <is>
          <t>2025-07-13 03:58 PM</t>
        </is>
      </c>
    </row>
    <row r="488">
      <c r="A488" s="26" t="inlineStr">
        <is>
          <t>8964001529262</t>
        </is>
      </c>
      <c r="B488" s="10" t="inlineStr">
        <is>
          <t>ACHARI MACARONI</t>
        </is>
      </c>
      <c r="C488" s="10" t="inlineStr">
        <is>
          <t>Macroni</t>
        </is>
      </c>
      <c r="D488" s="10" t="inlineStr">
        <is>
          <t>Macroni</t>
        </is>
      </c>
      <c r="E488" s="13" t="n">
        <v>100</v>
      </c>
      <c r="F488" s="13" t="n">
        <v>150</v>
      </c>
      <c r="G488" s="13">
        <f>F488-E488</f>
        <v/>
      </c>
      <c r="H488" s="27" t="n">
        <v>45</v>
      </c>
      <c r="I488" s="13">
        <f>E488*H488</f>
        <v/>
      </c>
      <c r="J488" s="13">
        <f>F488*H488</f>
        <v/>
      </c>
      <c r="K488" s="26">
        <f>IF(H488&lt;=0, "Out of Stock", IF(H488&lt;=5, "Low Stock", "In Stock"))</f>
        <v/>
      </c>
      <c r="L488" s="26" t="inlineStr">
        <is>
          <t>2025-07-13 01:49 PM</t>
        </is>
      </c>
    </row>
    <row r="489">
      <c r="A489" s="28" t="inlineStr">
        <is>
          <t>8961103065865</t>
        </is>
      </c>
      <c r="B489" s="15" t="inlineStr">
        <is>
          <t>NATURE,S OWN MACRONI 400GM</t>
        </is>
      </c>
      <c r="C489" s="15" t="inlineStr">
        <is>
          <t>Macroni</t>
        </is>
      </c>
      <c r="D489" s="15" t="inlineStr">
        <is>
          <t>Macroni</t>
        </is>
      </c>
      <c r="E489" s="18" t="n">
        <v>155</v>
      </c>
      <c r="F489" s="18" t="n">
        <v>200</v>
      </c>
      <c r="G489" s="18">
        <f>F489-E489</f>
        <v/>
      </c>
      <c r="H489" s="29" t="n">
        <v>19</v>
      </c>
      <c r="I489" s="18">
        <f>E489*H489</f>
        <v/>
      </c>
      <c r="J489" s="18">
        <f>F489*H489</f>
        <v/>
      </c>
      <c r="K489" s="28">
        <f>IF(H489&lt;=0, "Out of Stock", IF(H489&lt;=5, "Low Stock", "In Stock"))</f>
        <v/>
      </c>
      <c r="L489" s="28" t="inlineStr">
        <is>
          <t>2025-07-17 08:00 AM</t>
        </is>
      </c>
    </row>
    <row r="490">
      <c r="A490" s="26" t="inlineStr">
        <is>
          <t>8961101373573</t>
        </is>
      </c>
      <c r="B490" s="10" t="inlineStr">
        <is>
          <t>OPA MACRONI</t>
        </is>
      </c>
      <c r="C490" s="10" t="inlineStr">
        <is>
          <t>Macroni</t>
        </is>
      </c>
      <c r="D490" s="10" t="inlineStr">
        <is>
          <t>Macroni</t>
        </is>
      </c>
      <c r="E490" s="13" t="n">
        <v>180</v>
      </c>
      <c r="F490" s="13" t="n">
        <v>230</v>
      </c>
      <c r="G490" s="13">
        <f>F490-E490</f>
        <v/>
      </c>
      <c r="H490" s="27" t="n">
        <v>1</v>
      </c>
      <c r="I490" s="13">
        <f>E490*H490</f>
        <v/>
      </c>
      <c r="J490" s="13">
        <f>F490*H490</f>
        <v/>
      </c>
      <c r="K490" s="26">
        <f>IF(H490&lt;=0, "Out of Stock", IF(H490&lt;=5, "Low Stock", "In Stock"))</f>
        <v/>
      </c>
      <c r="L490" s="26" t="inlineStr">
        <is>
          <t>2025-07-13 03:56 PM</t>
        </is>
      </c>
    </row>
    <row r="491">
      <c r="A491" s="28" t="inlineStr">
        <is>
          <t>1358946343668</t>
        </is>
      </c>
      <c r="B491" s="15" t="inlineStr">
        <is>
          <t>TIKAA MACRONI</t>
        </is>
      </c>
      <c r="C491" s="15" t="inlineStr">
        <is>
          <t>Macroni</t>
        </is>
      </c>
      <c r="D491" s="15" t="inlineStr">
        <is>
          <t>Macroni</t>
        </is>
      </c>
      <c r="E491" s="18" t="n">
        <v>100</v>
      </c>
      <c r="F491" s="18" t="n">
        <v>150</v>
      </c>
      <c r="G491" s="18">
        <f>F491-E491</f>
        <v/>
      </c>
      <c r="H491" s="29" t="n">
        <v>36</v>
      </c>
      <c r="I491" s="18">
        <f>E491*H491</f>
        <v/>
      </c>
      <c r="J491" s="18">
        <f>F491*H491</f>
        <v/>
      </c>
      <c r="K491" s="28">
        <f>IF(H491&lt;=0, "Out of Stock", IF(H491&lt;=5, "Low Stock", "In Stock"))</f>
        <v/>
      </c>
      <c r="L491" s="28" t="inlineStr">
        <is>
          <t>2025-07-13 01:48 PM</t>
        </is>
      </c>
    </row>
    <row r="492">
      <c r="A492" s="26" t="inlineStr">
        <is>
          <t>PROD-20250718-232851-NEW</t>
        </is>
      </c>
      <c r="B492" s="10" t="inlineStr">
        <is>
          <t>ROSE PLASTIC MAGGA</t>
        </is>
      </c>
      <c r="C492" s="10" t="inlineStr">
        <is>
          <t>Magga</t>
        </is>
      </c>
      <c r="D492" s="10" t="inlineStr">
        <is>
          <t>Magga</t>
        </is>
      </c>
      <c r="E492" s="13" t="n">
        <v>60</v>
      </c>
      <c r="F492" s="13" t="n">
        <v>100</v>
      </c>
      <c r="G492" s="13">
        <f>F492-E492</f>
        <v/>
      </c>
      <c r="H492" s="27" t="n">
        <v>12</v>
      </c>
      <c r="I492" s="13">
        <f>E492*H492</f>
        <v/>
      </c>
      <c r="J492" s="13">
        <f>F492*H492</f>
        <v/>
      </c>
      <c r="K492" s="26">
        <f>IF(H492&lt;=0, "Out of Stock", IF(H492&lt;=5, "Low Stock", "In Stock"))</f>
        <v/>
      </c>
      <c r="L492" s="26" t="inlineStr">
        <is>
          <t>2025-07-18 06:29 PM</t>
        </is>
      </c>
    </row>
    <row r="493">
      <c r="A493" s="28" t="inlineStr">
        <is>
          <t>695240200725</t>
        </is>
      </c>
      <c r="B493" s="15" t="inlineStr">
        <is>
          <t>COLOUR MARKER DOLLAR</t>
        </is>
      </c>
      <c r="C493" s="15" t="inlineStr">
        <is>
          <t>Marker</t>
        </is>
      </c>
      <c r="D493" s="15" t="inlineStr">
        <is>
          <t>Marker</t>
        </is>
      </c>
      <c r="E493" s="18" t="n">
        <v>15</v>
      </c>
      <c r="F493" s="18" t="n">
        <v>20</v>
      </c>
      <c r="G493" s="18">
        <f>F493-E493</f>
        <v/>
      </c>
      <c r="H493" s="29" t="n">
        <v>11</v>
      </c>
      <c r="I493" s="18">
        <f>E493*H493</f>
        <v/>
      </c>
      <c r="J493" s="18">
        <f>F493*H493</f>
        <v/>
      </c>
      <c r="K493" s="28">
        <f>IF(H493&lt;=0, "Out of Stock", IF(H493&lt;=5, "Low Stock", "In Stock"))</f>
        <v/>
      </c>
      <c r="L493" s="28" t="inlineStr">
        <is>
          <t>2025-07-13 06:16 PM</t>
        </is>
      </c>
    </row>
    <row r="494">
      <c r="A494" s="26" t="inlineStr">
        <is>
          <t>695240209193</t>
        </is>
      </c>
      <c r="B494" s="10" t="inlineStr">
        <is>
          <t>DRY ERASER MARKER</t>
        </is>
      </c>
      <c r="C494" s="10" t="inlineStr">
        <is>
          <t>Marker</t>
        </is>
      </c>
      <c r="D494" s="10" t="inlineStr">
        <is>
          <t>Marker</t>
        </is>
      </c>
      <c r="E494" s="13" t="n">
        <v>50</v>
      </c>
      <c r="F494" s="13" t="n">
        <v>80</v>
      </c>
      <c r="G494" s="13">
        <f>F494-E494</f>
        <v/>
      </c>
      <c r="H494" s="27" t="n">
        <v>23</v>
      </c>
      <c r="I494" s="13">
        <f>E494*H494</f>
        <v/>
      </c>
      <c r="J494" s="13">
        <f>F494*H494</f>
        <v/>
      </c>
      <c r="K494" s="26">
        <f>IF(H494&lt;=0, "Out of Stock", IF(H494&lt;=5, "Low Stock", "In Stock"))</f>
        <v/>
      </c>
      <c r="L494" s="26" t="inlineStr">
        <is>
          <t>2025-07-13 06:00 PM</t>
        </is>
      </c>
    </row>
    <row r="495">
      <c r="A495" s="28" t="inlineStr">
        <is>
          <t>695240209186</t>
        </is>
      </c>
      <c r="B495" s="15" t="inlineStr">
        <is>
          <t>DRY ERSER MARKER BLUE</t>
        </is>
      </c>
      <c r="C495" s="15" t="inlineStr">
        <is>
          <t>Marker</t>
        </is>
      </c>
      <c r="D495" s="15" t="inlineStr">
        <is>
          <t>Marker</t>
        </is>
      </c>
      <c r="E495" s="18" t="n">
        <v>60</v>
      </c>
      <c r="F495" s="18" t="n">
        <v>80</v>
      </c>
      <c r="G495" s="18">
        <f>F495-E495</f>
        <v/>
      </c>
      <c r="H495" s="29" t="n">
        <v>29</v>
      </c>
      <c r="I495" s="18">
        <f>E495*H495</f>
        <v/>
      </c>
      <c r="J495" s="18">
        <f>F495*H495</f>
        <v/>
      </c>
      <c r="K495" s="28">
        <f>IF(H495&lt;=0, "Out of Stock", IF(H495&lt;=5, "Low Stock", "In Stock"))</f>
        <v/>
      </c>
      <c r="L495" s="28" t="inlineStr">
        <is>
          <t>2025-07-13 06:26 PM</t>
        </is>
      </c>
    </row>
    <row r="496">
      <c r="A496" s="26" t="inlineStr">
        <is>
          <t>695240208752</t>
        </is>
      </c>
      <c r="B496" s="10" t="inlineStr">
        <is>
          <t>PERMANENT MARKER DOLLAR</t>
        </is>
      </c>
      <c r="C496" s="10" t="inlineStr">
        <is>
          <t>Marker</t>
        </is>
      </c>
      <c r="D496" s="10" t="inlineStr">
        <is>
          <t>Marker</t>
        </is>
      </c>
      <c r="E496" s="13" t="n">
        <v>60</v>
      </c>
      <c r="F496" s="13" t="n">
        <v>80</v>
      </c>
      <c r="G496" s="13">
        <f>F496-E496</f>
        <v/>
      </c>
      <c r="H496" s="27" t="n">
        <v>72</v>
      </c>
      <c r="I496" s="13">
        <f>E496*H496</f>
        <v/>
      </c>
      <c r="J496" s="13">
        <f>F496*H496</f>
        <v/>
      </c>
      <c r="K496" s="26">
        <f>IF(H496&lt;=0, "Out of Stock", IF(H496&lt;=5, "Low Stock", "In Stock"))</f>
        <v/>
      </c>
      <c r="L496" s="26" t="inlineStr">
        <is>
          <t>2025-07-13 06:18 PM</t>
        </is>
      </c>
    </row>
    <row r="497">
      <c r="A497" s="28" t="inlineStr">
        <is>
          <t>633152014771</t>
        </is>
      </c>
      <c r="B497" s="15" t="inlineStr">
        <is>
          <t>MEHRAN CHICKEN MASALA SACHET</t>
        </is>
      </c>
      <c r="C497" s="15" t="inlineStr">
        <is>
          <t>Masala</t>
        </is>
      </c>
      <c r="D497" s="15" t="inlineStr">
        <is>
          <t>Masala</t>
        </is>
      </c>
      <c r="E497" s="18" t="n">
        <v>55</v>
      </c>
      <c r="F497" s="18" t="n">
        <v>70</v>
      </c>
      <c r="G497" s="18">
        <f>F497-E497</f>
        <v/>
      </c>
      <c r="H497" s="29" t="n">
        <v>59</v>
      </c>
      <c r="I497" s="18">
        <f>E497*H497</f>
        <v/>
      </c>
      <c r="J497" s="18">
        <f>F497*H497</f>
        <v/>
      </c>
      <c r="K497" s="28">
        <f>IF(H497&lt;=0, "Out of Stock", IF(H497&lt;=5, "Low Stock", "In Stock"))</f>
        <v/>
      </c>
      <c r="L497" s="28" t="inlineStr">
        <is>
          <t>2025-07-19 06:07 PM</t>
        </is>
      </c>
    </row>
    <row r="498">
      <c r="A498" s="26" t="inlineStr">
        <is>
          <t>620514009926</t>
        </is>
      </c>
      <c r="B498" s="10" t="inlineStr">
        <is>
          <t>NATIONAL CHICKEN TIKKA SACHET</t>
        </is>
      </c>
      <c r="C498" s="10" t="inlineStr">
        <is>
          <t>Masala</t>
        </is>
      </c>
      <c r="D498" s="10" t="inlineStr">
        <is>
          <t>Masala</t>
        </is>
      </c>
      <c r="E498" s="13" t="n">
        <v>60</v>
      </c>
      <c r="F498" s="13" t="n">
        <v>70</v>
      </c>
      <c r="G498" s="13">
        <f>F498-E498</f>
        <v/>
      </c>
      <c r="H498" s="27" t="n">
        <v>60</v>
      </c>
      <c r="I498" s="13">
        <f>E498*H498</f>
        <v/>
      </c>
      <c r="J498" s="13">
        <f>F498*H498</f>
        <v/>
      </c>
      <c r="K498" s="26">
        <f>IF(H498&lt;=0, "Out of Stock", IF(H498&lt;=5, "Low Stock", "In Stock"))</f>
        <v/>
      </c>
      <c r="L498" s="26" t="inlineStr">
        <is>
          <t>2025-07-19 05:42 PM</t>
        </is>
      </c>
    </row>
    <row r="499">
      <c r="A499" s="28" t="inlineStr">
        <is>
          <t>PROD-20250719-213556-NEW</t>
        </is>
      </c>
      <c r="B499" s="15" t="inlineStr">
        <is>
          <t>BLACK-BLUE MASK</t>
        </is>
      </c>
      <c r="C499" s="15" t="inlineStr">
        <is>
          <t>Mask</t>
        </is>
      </c>
      <c r="D499" s="15" t="inlineStr">
        <is>
          <t>Mask</t>
        </is>
      </c>
      <c r="E499" s="18" t="n">
        <v>3</v>
      </c>
      <c r="F499" s="18" t="n">
        <v>10</v>
      </c>
      <c r="G499" s="18">
        <f>F499-E499</f>
        <v/>
      </c>
      <c r="H499" s="29" t="n">
        <v>394</v>
      </c>
      <c r="I499" s="18">
        <f>E499*H499</f>
        <v/>
      </c>
      <c r="J499" s="18">
        <f>F499*H499</f>
        <v/>
      </c>
      <c r="K499" s="28">
        <f>IF(H499&lt;=0, "Out of Stock", IF(H499&lt;=5, "Low Stock", "In Stock"))</f>
        <v/>
      </c>
      <c r="L499" s="28" t="inlineStr">
        <is>
          <t>2025-07-19 04:37 PM</t>
        </is>
      </c>
    </row>
    <row r="500">
      <c r="A500" s="26" t="inlineStr">
        <is>
          <t>745178816014</t>
        </is>
      </c>
      <c r="B500" s="10" t="inlineStr">
        <is>
          <t>MATCH BOX KITE</t>
        </is>
      </c>
      <c r="C500" s="10" t="inlineStr">
        <is>
          <t>Matchbox</t>
        </is>
      </c>
      <c r="D500" s="10" t="inlineStr">
        <is>
          <t>Matchbox</t>
        </is>
      </c>
      <c r="E500" s="13" t="n">
        <v>3.5</v>
      </c>
      <c r="F500" s="13" t="n">
        <v>5</v>
      </c>
      <c r="G500" s="13">
        <f>F500-E500</f>
        <v/>
      </c>
      <c r="H500" s="27" t="n">
        <v>930</v>
      </c>
      <c r="I500" s="13">
        <f>E500*H500</f>
        <v/>
      </c>
      <c r="J500" s="13">
        <f>F500*H500</f>
        <v/>
      </c>
      <c r="K500" s="26">
        <f>IF(H500&lt;=0, "Out of Stock", IF(H500&lt;=5, "Low Stock", "In Stock"))</f>
        <v/>
      </c>
      <c r="L500" s="26" t="inlineStr">
        <is>
          <t>2025-07-17 09:49 AM</t>
        </is>
      </c>
    </row>
    <row r="501">
      <c r="A501" s="28" t="inlineStr">
        <is>
          <t>PROD-20250716-235231-MNIES</t>
        </is>
      </c>
      <c r="B501" s="15" t="inlineStr">
        <is>
          <t>DELIGHT MAYO DRESSING</t>
        </is>
      </c>
      <c r="C501" s="15" t="inlineStr">
        <is>
          <t>Mayonies</t>
        </is>
      </c>
      <c r="D501" s="15" t="inlineStr">
        <is>
          <t>Mayonies</t>
        </is>
      </c>
      <c r="E501" s="18" t="n">
        <v>105</v>
      </c>
      <c r="F501" s="18" t="n">
        <v>170</v>
      </c>
      <c r="G501" s="18">
        <f>F501-E501</f>
        <v/>
      </c>
      <c r="H501" s="29" t="n">
        <v>18</v>
      </c>
      <c r="I501" s="18">
        <f>E501*H501</f>
        <v/>
      </c>
      <c r="J501" s="18">
        <f>F501*H501</f>
        <v/>
      </c>
      <c r="K501" s="28">
        <f>IF(H501&lt;=0, "Out of Stock", IF(H501&lt;=5, "Low Stock", "In Stock"))</f>
        <v/>
      </c>
      <c r="L501" s="28" t="inlineStr">
        <is>
          <t>2025-07-16 06:53 PM</t>
        </is>
      </c>
    </row>
    <row r="502">
      <c r="A502" s="26" t="inlineStr">
        <is>
          <t>8964000061114</t>
        </is>
      </c>
      <c r="B502" s="10" t="inlineStr">
        <is>
          <t>YOUNG,S MAYONNAISE</t>
        </is>
      </c>
      <c r="C502" s="10" t="inlineStr">
        <is>
          <t>Mayonnaise</t>
        </is>
      </c>
      <c r="D502" s="10" t="inlineStr">
        <is>
          <t>Mayonnaise</t>
        </is>
      </c>
      <c r="E502" s="13" t="n">
        <v>300</v>
      </c>
      <c r="F502" s="13" t="n">
        <v>335</v>
      </c>
      <c r="G502" s="13">
        <f>F502-E502</f>
        <v/>
      </c>
      <c r="H502" s="27" t="n">
        <v>4</v>
      </c>
      <c r="I502" s="13">
        <f>E502*H502</f>
        <v/>
      </c>
      <c r="J502" s="13">
        <f>F502*H502</f>
        <v/>
      </c>
      <c r="K502" s="26">
        <f>IF(H502&lt;=0, "Out of Stock", IF(H502&lt;=5, "Low Stock", "In Stock"))</f>
        <v/>
      </c>
      <c r="L502" s="26" t="inlineStr">
        <is>
          <t>2025-07-16 06:54 PM</t>
        </is>
      </c>
    </row>
    <row r="503">
      <c r="A503" s="28" t="inlineStr">
        <is>
          <t>8964000057094</t>
        </is>
      </c>
      <c r="B503" s="15" t="inlineStr">
        <is>
          <t>Ispaghol Husk</t>
        </is>
      </c>
      <c r="C503" s="15" t="inlineStr">
        <is>
          <t>Medicine</t>
        </is>
      </c>
      <c r="D503" s="15" t="inlineStr">
        <is>
          <t>Medicine</t>
        </is>
      </c>
      <c r="E503" s="18" t="n">
        <v>134</v>
      </c>
      <c r="F503" s="18" t="n">
        <v>215</v>
      </c>
      <c r="G503" s="18">
        <f>F503-E503</f>
        <v/>
      </c>
      <c r="H503" s="29" t="n">
        <v>8</v>
      </c>
      <c r="I503" s="18">
        <f>E503*H503</f>
        <v/>
      </c>
      <c r="J503" s="18">
        <f>F503*H503</f>
        <v/>
      </c>
      <c r="K503" s="28">
        <f>IF(H503&lt;=0, "Out of Stock", IF(H503&lt;=5, "Low Stock", "In Stock"))</f>
        <v/>
      </c>
      <c r="L503" s="28" t="inlineStr">
        <is>
          <t>2025-07-12 04:49 PM</t>
        </is>
      </c>
    </row>
    <row r="504">
      <c r="A504" s="26" t="inlineStr">
        <is>
          <t>8964000057087</t>
        </is>
      </c>
      <c r="B504" s="10" t="inlineStr">
        <is>
          <t>Ispaghol Sachet</t>
        </is>
      </c>
      <c r="C504" s="10" t="inlineStr">
        <is>
          <t>Medicine</t>
        </is>
      </c>
      <c r="D504" s="10" t="inlineStr">
        <is>
          <t>Medicine</t>
        </is>
      </c>
      <c r="E504" s="13" t="n">
        <v>26</v>
      </c>
      <c r="F504" s="13" t="n">
        <v>35</v>
      </c>
      <c r="G504" s="13">
        <f>F504-E504</f>
        <v/>
      </c>
      <c r="H504" s="27" t="n">
        <v>7</v>
      </c>
      <c r="I504" s="13">
        <f>E504*H504</f>
        <v/>
      </c>
      <c r="J504" s="13">
        <f>F504*H504</f>
        <v/>
      </c>
      <c r="K504" s="26">
        <f>IF(H504&lt;=0, "Out of Stock", IF(H504&lt;=5, "Low Stock", "In Stock"))</f>
        <v/>
      </c>
      <c r="L504" s="26" t="inlineStr">
        <is>
          <t>2025-07-12 05:02 PM</t>
        </is>
      </c>
    </row>
    <row r="505">
      <c r="A505" s="28" t="inlineStr">
        <is>
          <t>855434009675</t>
        </is>
      </c>
      <c r="B505" s="15" t="inlineStr">
        <is>
          <t>Johar Joshanda sachet</t>
        </is>
      </c>
      <c r="C505" s="15" t="inlineStr">
        <is>
          <t>Medicine</t>
        </is>
      </c>
      <c r="D505" s="15" t="inlineStr">
        <is>
          <t>Medicine</t>
        </is>
      </c>
      <c r="E505" s="18" t="n">
        <v>17</v>
      </c>
      <c r="F505" s="18" t="n">
        <v>25</v>
      </c>
      <c r="G505" s="18">
        <f>F505-E505</f>
        <v/>
      </c>
      <c r="H505" s="29" t="n">
        <v>150</v>
      </c>
      <c r="I505" s="18">
        <f>E505*H505</f>
        <v/>
      </c>
      <c r="J505" s="18">
        <f>F505*H505</f>
        <v/>
      </c>
      <c r="K505" s="28">
        <f>IF(H505&lt;=0, "Out of Stock", IF(H505&lt;=5, "Low Stock", "In Stock"))</f>
        <v/>
      </c>
      <c r="L505" s="28" t="inlineStr">
        <is>
          <t>2025-07-12 04:45 PM</t>
        </is>
      </c>
    </row>
    <row r="506">
      <c r="A506" s="26" t="inlineStr">
        <is>
          <t>8961008219561</t>
        </is>
      </c>
      <c r="B506" s="10" t="inlineStr">
        <is>
          <t>NESTLE MILK PAK 1 LTR</t>
        </is>
      </c>
      <c r="C506" s="10" t="inlineStr">
        <is>
          <t>Milk</t>
        </is>
      </c>
      <c r="D506" s="10" t="inlineStr">
        <is>
          <t>Milk</t>
        </is>
      </c>
      <c r="E506" s="13" t="n">
        <v>335.89</v>
      </c>
      <c r="F506" s="13" t="n">
        <v>370</v>
      </c>
      <c r="G506" s="13">
        <f>F506-E506</f>
        <v/>
      </c>
      <c r="H506" s="27" t="n">
        <v>20</v>
      </c>
      <c r="I506" s="13">
        <f>E506*H506</f>
        <v/>
      </c>
      <c r="J506" s="13">
        <f>F506*H506</f>
        <v/>
      </c>
      <c r="K506" s="26">
        <f>IF(H506&lt;=0, "Out of Stock", IF(H506&lt;=5, "Low Stock", "In Stock"))</f>
        <v/>
      </c>
      <c r="L506" s="26" t="inlineStr">
        <is>
          <t>2025-07-16 07:12 PM</t>
        </is>
      </c>
    </row>
    <row r="507">
      <c r="A507" s="28" t="inlineStr">
        <is>
          <t>8961008022185</t>
        </is>
      </c>
      <c r="B507" s="15" t="inlineStr">
        <is>
          <t>NESTLE MILK PAK 250ML</t>
        </is>
      </c>
      <c r="C507" s="15" t="inlineStr">
        <is>
          <t>Milk</t>
        </is>
      </c>
      <c r="D507" s="15" t="inlineStr">
        <is>
          <t>Milk</t>
        </is>
      </c>
      <c r="E507" s="18" t="n">
        <v>85</v>
      </c>
      <c r="F507" s="18" t="n">
        <v>100</v>
      </c>
      <c r="G507" s="18">
        <f>F507-E507</f>
        <v/>
      </c>
      <c r="H507" s="29" t="n">
        <v>48</v>
      </c>
      <c r="I507" s="18">
        <f>E507*H507</f>
        <v/>
      </c>
      <c r="J507" s="18">
        <f>F507*H507</f>
        <v/>
      </c>
      <c r="K507" s="28">
        <f>IF(H507&lt;=0, "Out of Stock", IF(H507&lt;=5, "Low Stock", "In Stock"))</f>
        <v/>
      </c>
      <c r="L507" s="28" t="inlineStr">
        <is>
          <t>2025-07-16 07:14 PM</t>
        </is>
      </c>
    </row>
    <row r="508">
      <c r="A508" s="26" t="inlineStr">
        <is>
          <t>8964000346549</t>
        </is>
      </c>
      <c r="B508" s="10" t="inlineStr">
        <is>
          <t>OLPAR MILK 250 ML</t>
        </is>
      </c>
      <c r="C508" s="10" t="inlineStr">
        <is>
          <t>Milk</t>
        </is>
      </c>
      <c r="D508" s="10" t="inlineStr">
        <is>
          <t>Milk</t>
        </is>
      </c>
      <c r="E508" s="13" t="n">
        <v>85.45</v>
      </c>
      <c r="F508" s="13" t="n">
        <v>100</v>
      </c>
      <c r="G508" s="13">
        <f>F508-E508</f>
        <v/>
      </c>
      <c r="H508" s="27" t="n">
        <v>92</v>
      </c>
      <c r="I508" s="13">
        <f>E508*H508</f>
        <v/>
      </c>
      <c r="J508" s="13">
        <f>F508*H508</f>
        <v/>
      </c>
      <c r="K508" s="26">
        <f>IF(H508&lt;=0, "Out of Stock", IF(H508&lt;=5, "Low Stock", "In Stock"))</f>
        <v/>
      </c>
      <c r="L508" s="26" t="inlineStr">
        <is>
          <t>2025-07-19 03:31 PM</t>
        </is>
      </c>
    </row>
    <row r="509">
      <c r="A509" s="28" t="inlineStr">
        <is>
          <t>8964000346679</t>
        </is>
      </c>
      <c r="B509" s="15" t="inlineStr">
        <is>
          <t>OLPER,S 1 LTR</t>
        </is>
      </c>
      <c r="C509" s="15" t="inlineStr">
        <is>
          <t>Milk</t>
        </is>
      </c>
      <c r="D509" s="15" t="inlineStr">
        <is>
          <t>Milk</t>
        </is>
      </c>
      <c r="E509" s="18" t="n">
        <v>336.91</v>
      </c>
      <c r="F509" s="18" t="n">
        <v>370</v>
      </c>
      <c r="G509" s="18">
        <f>F509-E509</f>
        <v/>
      </c>
      <c r="H509" s="29" t="n">
        <v>26</v>
      </c>
      <c r="I509" s="18">
        <f>E509*H509</f>
        <v/>
      </c>
      <c r="J509" s="18">
        <f>F509*H509</f>
        <v/>
      </c>
      <c r="K509" s="28">
        <f>IF(H509&lt;=0, "Out of Stock", IF(H509&lt;=5, "Low Stock", "In Stock"))</f>
        <v/>
      </c>
      <c r="L509" s="28" t="inlineStr">
        <is>
          <t>2025-07-16 07:11 PM</t>
        </is>
      </c>
    </row>
    <row r="510">
      <c r="A510" s="26" t="inlineStr">
        <is>
          <t>8964000346334</t>
        </is>
      </c>
      <c r="B510" s="10" t="inlineStr">
        <is>
          <t>OLPER,S 1.5 LTR</t>
        </is>
      </c>
      <c r="C510" s="10" t="inlineStr">
        <is>
          <t>Milk</t>
        </is>
      </c>
      <c r="D510" s="10" t="inlineStr">
        <is>
          <t>Milk</t>
        </is>
      </c>
      <c r="E510" s="13" t="n">
        <v>494.58</v>
      </c>
      <c r="F510" s="13" t="n">
        <v>520</v>
      </c>
      <c r="G510" s="13">
        <f>F510-E510</f>
        <v/>
      </c>
      <c r="H510" s="27" t="n">
        <v>27</v>
      </c>
      <c r="I510" s="13">
        <f>E510*H510</f>
        <v/>
      </c>
      <c r="J510" s="13">
        <f>F510*H510</f>
        <v/>
      </c>
      <c r="K510" s="26">
        <f>IF(H510&lt;=0, "Out of Stock", IF(H510&lt;=5, "Low Stock", "In Stock"))</f>
        <v/>
      </c>
      <c r="L510" s="26" t="inlineStr">
        <is>
          <t>2025-07-16 07:10 PM</t>
        </is>
      </c>
    </row>
    <row r="511">
      <c r="A511" s="28" t="inlineStr">
        <is>
          <t>8961008218687</t>
        </is>
      </c>
      <c r="B511" s="15" t="inlineStr">
        <is>
          <t>NESTLE MILK POWDER BUNYAAD</t>
        </is>
      </c>
      <c r="C511" s="15" t="inlineStr">
        <is>
          <t>Milk Powder</t>
        </is>
      </c>
      <c r="D511" s="15" t="inlineStr">
        <is>
          <t>Milk Powder</t>
        </is>
      </c>
      <c r="E511" s="18" t="n">
        <v>45</v>
      </c>
      <c r="F511" s="18" t="n">
        <v>60</v>
      </c>
      <c r="G511" s="18">
        <f>F511-E511</f>
        <v/>
      </c>
      <c r="H511" s="29" t="n">
        <v>127</v>
      </c>
      <c r="I511" s="18">
        <f>E511*H511</f>
        <v/>
      </c>
      <c r="J511" s="18">
        <f>F511*H511</f>
        <v/>
      </c>
      <c r="K511" s="28">
        <f>IF(H511&lt;=0, "Out of Stock", IF(H511&lt;=5, "Low Stock", "In Stock"))</f>
        <v/>
      </c>
      <c r="L511" s="28" t="inlineStr">
        <is>
          <t>2025-07-15 04:17 PM</t>
        </is>
      </c>
    </row>
    <row r="512">
      <c r="A512" s="26" t="inlineStr">
        <is>
          <t>PROD-20250715-MIRROR</t>
        </is>
      </c>
      <c r="B512" s="10" t="inlineStr">
        <is>
          <t>FACE MIRROR</t>
        </is>
      </c>
      <c r="C512" s="10" t="inlineStr">
        <is>
          <t>Mirror</t>
        </is>
      </c>
      <c r="D512" s="10" t="inlineStr">
        <is>
          <t>Mirror</t>
        </is>
      </c>
      <c r="E512" s="13" t="n">
        <v>100</v>
      </c>
      <c r="F512" s="13" t="n">
        <v>150</v>
      </c>
      <c r="G512" s="13">
        <f>F512-E512</f>
        <v/>
      </c>
      <c r="H512" s="27" t="n">
        <v>25</v>
      </c>
      <c r="I512" s="13">
        <f>E512*H512</f>
        <v/>
      </c>
      <c r="J512" s="13">
        <f>F512*H512</f>
        <v/>
      </c>
      <c r="K512" s="26">
        <f>IF(H512&lt;=0, "Out of Stock", IF(H512&lt;=5, "Low Stock", "In Stock"))</f>
        <v/>
      </c>
      <c r="L512" s="26" t="inlineStr">
        <is>
          <t>2025-07-15 12:34 PM</t>
        </is>
      </c>
    </row>
    <row r="513">
      <c r="A513" s="28" t="inlineStr">
        <is>
          <t>8966000041325</t>
        </is>
      </c>
      <c r="B513" s="15" t="inlineStr">
        <is>
          <t>MORTEIN SPRAY</t>
        </is>
      </c>
      <c r="C513" s="15" t="inlineStr">
        <is>
          <t>Mortein</t>
        </is>
      </c>
      <c r="D513" s="15" t="inlineStr">
        <is>
          <t>Mortein</t>
        </is>
      </c>
      <c r="E513" s="18" t="n">
        <v>470</v>
      </c>
      <c r="F513" s="18" t="n">
        <v>550</v>
      </c>
      <c r="G513" s="18">
        <f>F513-E513</f>
        <v/>
      </c>
      <c r="H513" s="29" t="n">
        <v>3</v>
      </c>
      <c r="I513" s="18">
        <f>E513*H513</f>
        <v/>
      </c>
      <c r="J513" s="18">
        <f>F513*H513</f>
        <v/>
      </c>
      <c r="K513" s="28">
        <f>IF(H513&lt;=0, "Out of Stock", IF(H513&lt;=5, "Low Stock", "In Stock"))</f>
        <v/>
      </c>
      <c r="L513" s="28" t="inlineStr">
        <is>
          <t>2025-07-25 05:09 PM</t>
        </is>
      </c>
    </row>
    <row r="514">
      <c r="A514" s="26" t="inlineStr">
        <is>
          <t>736211020673</t>
        </is>
      </c>
      <c r="B514" s="10" t="inlineStr">
        <is>
          <t>BLACK COBRA INSECT KILLER</t>
        </is>
      </c>
      <c r="C514" s="10" t="inlineStr">
        <is>
          <t>Mosquito Killer</t>
        </is>
      </c>
      <c r="D514" s="10" t="inlineStr">
        <is>
          <t>Mosquito Killer</t>
        </is>
      </c>
      <c r="E514" s="13" t="n">
        <v>295.18</v>
      </c>
      <c r="F514" s="13" t="n">
        <v>350</v>
      </c>
      <c r="G514" s="13">
        <f>F514-E514</f>
        <v/>
      </c>
      <c r="H514" s="27" t="n">
        <v>46</v>
      </c>
      <c r="I514" s="13">
        <f>E514*H514</f>
        <v/>
      </c>
      <c r="J514" s="13">
        <f>F514*H514</f>
        <v/>
      </c>
      <c r="K514" s="26">
        <f>IF(H514&lt;=0, "Out of Stock", IF(H514&lt;=5, "Low Stock", "In Stock"))</f>
        <v/>
      </c>
      <c r="L514" s="26" t="inlineStr">
        <is>
          <t>2025-07-15 09:03 AM</t>
        </is>
      </c>
    </row>
    <row r="515">
      <c r="A515" s="28" t="inlineStr">
        <is>
          <t>PROD-20250712-01 555</t>
        </is>
      </c>
      <c r="B515" s="15" t="inlineStr">
        <is>
          <t>Nail Cutter 555 Three FIve</t>
        </is>
      </c>
      <c r="C515" s="15" t="inlineStr">
        <is>
          <t>Nail Cutter</t>
        </is>
      </c>
      <c r="D515" s="15" t="inlineStr">
        <is>
          <t>Nail Cutter</t>
        </is>
      </c>
      <c r="E515" s="18" t="n">
        <v>58</v>
      </c>
      <c r="F515" s="18" t="n">
        <v>100</v>
      </c>
      <c r="G515" s="18">
        <f>F515-E515</f>
        <v/>
      </c>
      <c r="H515" s="29" t="n">
        <v>28</v>
      </c>
      <c r="I515" s="18">
        <f>E515*H515</f>
        <v/>
      </c>
      <c r="J515" s="18">
        <f>F515*H515</f>
        <v/>
      </c>
      <c r="K515" s="28">
        <f>IF(H515&lt;=0, "Out of Stock", IF(H515&lt;=5, "Low Stock", "In Stock"))</f>
        <v/>
      </c>
      <c r="L515" s="28" t="inlineStr">
        <is>
          <t>2025-07-12 08:10 PM</t>
        </is>
      </c>
    </row>
    <row r="516">
      <c r="A516" s="26" t="inlineStr">
        <is>
          <t>5568794852106</t>
        </is>
      </c>
      <c r="B516" s="10" t="inlineStr">
        <is>
          <t>RAPID BLUE 150ML</t>
        </is>
      </c>
      <c r="C516" s="10" t="inlineStr">
        <is>
          <t>Neel</t>
        </is>
      </c>
      <c r="D516" s="10" t="inlineStr">
        <is>
          <t>Neel</t>
        </is>
      </c>
      <c r="E516" s="13" t="n">
        <v>170</v>
      </c>
      <c r="F516" s="13" t="n">
        <v>195</v>
      </c>
      <c r="G516" s="13">
        <f>F516-E516</f>
        <v/>
      </c>
      <c r="H516" s="27" t="n">
        <v>11</v>
      </c>
      <c r="I516" s="13">
        <f>E516*H516</f>
        <v/>
      </c>
      <c r="J516" s="13">
        <f>F516*H516</f>
        <v/>
      </c>
      <c r="K516" s="26">
        <f>IF(H516&lt;=0, "Out of Stock", IF(H516&lt;=5, "Low Stock", "In Stock"))</f>
        <v/>
      </c>
      <c r="L516" s="26" t="inlineStr">
        <is>
          <t>2025-07-14 07:17 PM</t>
        </is>
      </c>
    </row>
    <row r="517">
      <c r="A517" s="28" t="inlineStr">
        <is>
          <t>1524878575891</t>
        </is>
      </c>
      <c r="B517" s="15" t="inlineStr">
        <is>
          <t>RAPID BLUE 75ML</t>
        </is>
      </c>
      <c r="C517" s="15" t="inlineStr">
        <is>
          <t>Neel</t>
        </is>
      </c>
      <c r="D517" s="15" t="inlineStr">
        <is>
          <t>Neel</t>
        </is>
      </c>
      <c r="E517" s="18" t="n">
        <v>85</v>
      </c>
      <c r="F517" s="18" t="n">
        <v>110</v>
      </c>
      <c r="G517" s="18">
        <f>F517-E517</f>
        <v/>
      </c>
      <c r="H517" s="29" t="n">
        <v>36</v>
      </c>
      <c r="I517" s="18">
        <f>E517*H517</f>
        <v/>
      </c>
      <c r="J517" s="18">
        <f>F517*H517</f>
        <v/>
      </c>
      <c r="K517" s="28">
        <f>IF(H517&lt;=0, "Out of Stock", IF(H517&lt;=5, "Low Stock", "In Stock"))</f>
        <v/>
      </c>
      <c r="L517" s="28" t="inlineStr">
        <is>
          <t>2025-07-14 07:13 PM</t>
        </is>
      </c>
    </row>
    <row r="518">
      <c r="A518" s="26" t="inlineStr">
        <is>
          <t>8961014033854</t>
        </is>
      </c>
      <c r="B518" s="10" t="inlineStr">
        <is>
          <t>KNORR FAMILY PACK GREEN</t>
        </is>
      </c>
      <c r="C518" s="10" t="inlineStr">
        <is>
          <t>Noodle</t>
        </is>
      </c>
      <c r="D518" s="10" t="inlineStr">
        <is>
          <t>Noodle</t>
        </is>
      </c>
      <c r="E518" s="13" t="n">
        <v>47</v>
      </c>
      <c r="F518" s="13" t="n">
        <v>50</v>
      </c>
      <c r="G518" s="13">
        <f>F518-E518</f>
        <v/>
      </c>
      <c r="H518" s="27" t="n">
        <v>12</v>
      </c>
      <c r="I518" s="13">
        <f>E518*H518</f>
        <v/>
      </c>
      <c r="J518" s="13">
        <f>F518*H518</f>
        <v/>
      </c>
      <c r="K518" s="26">
        <f>IF(H518&lt;=0, "Out of Stock", IF(H518&lt;=5, "Low Stock", "In Stock"))</f>
        <v/>
      </c>
      <c r="L518" s="26" t="inlineStr">
        <is>
          <t>2025-07-14 08:17 AM</t>
        </is>
      </c>
    </row>
    <row r="519">
      <c r="A519" s="28" t="inlineStr">
        <is>
          <t>6262092003053</t>
        </is>
      </c>
      <c r="B519" s="15" t="inlineStr">
        <is>
          <t>INSTANT NOODLES</t>
        </is>
      </c>
      <c r="C519" s="15" t="inlineStr">
        <is>
          <t>Noodles</t>
        </is>
      </c>
      <c r="D519" s="15" t="inlineStr">
        <is>
          <t>Noodles</t>
        </is>
      </c>
      <c r="E519" s="18" t="n">
        <v>45</v>
      </c>
      <c r="F519" s="18" t="n">
        <v>80</v>
      </c>
      <c r="G519" s="18">
        <f>F519-E519</f>
        <v/>
      </c>
      <c r="H519" s="29" t="n">
        <v>8</v>
      </c>
      <c r="I519" s="18">
        <f>E519*H519</f>
        <v/>
      </c>
      <c r="J519" s="18">
        <f>F519*H519</f>
        <v/>
      </c>
      <c r="K519" s="28">
        <f>IF(H519&lt;=0, "Out of Stock", IF(H519&lt;=5, "Low Stock", "In Stock"))</f>
        <v/>
      </c>
      <c r="L519" s="28" t="inlineStr">
        <is>
          <t>2025-07-27 12:21 PM</t>
        </is>
      </c>
    </row>
    <row r="520">
      <c r="A520" s="26" t="inlineStr">
        <is>
          <t>8961014034929</t>
        </is>
      </c>
      <c r="B520" s="10" t="inlineStr">
        <is>
          <t>KNORR NOODLE GREEN</t>
        </is>
      </c>
      <c r="C520" s="10" t="inlineStr">
        <is>
          <t>Noodles</t>
        </is>
      </c>
      <c r="D520" s="10" t="inlineStr">
        <is>
          <t>Noodles</t>
        </is>
      </c>
      <c r="E520" s="13" t="n">
        <v>27</v>
      </c>
      <c r="F520" s="13" t="n">
        <v>30</v>
      </c>
      <c r="G520" s="13">
        <f>F520-E520</f>
        <v/>
      </c>
      <c r="H520" s="27" t="n">
        <v>187</v>
      </c>
      <c r="I520" s="13">
        <f>E520*H520</f>
        <v/>
      </c>
      <c r="J520" s="13">
        <f>F520*H520</f>
        <v/>
      </c>
      <c r="K520" s="26">
        <f>IF(H520&lt;=0, "Out of Stock", IF(H520&lt;=5, "Low Stock", "In Stock"))</f>
        <v/>
      </c>
      <c r="L520" s="26" t="inlineStr">
        <is>
          <t>2025-07-13 12:55 PM</t>
        </is>
      </c>
    </row>
    <row r="521">
      <c r="A521" s="28" t="inlineStr">
        <is>
          <t>8961014034912</t>
        </is>
      </c>
      <c r="B521" s="15" t="inlineStr">
        <is>
          <t>KNORR NOODLES CHAT PATTA</t>
        </is>
      </c>
      <c r="C521" s="15" t="inlineStr">
        <is>
          <t>Noodles</t>
        </is>
      </c>
      <c r="D521" s="15" t="inlineStr">
        <is>
          <t>Noodles</t>
        </is>
      </c>
      <c r="E521" s="18" t="n">
        <v>27</v>
      </c>
      <c r="F521" s="18" t="n">
        <v>30</v>
      </c>
      <c r="G521" s="18">
        <f>F521-E521</f>
        <v/>
      </c>
      <c r="H521" s="29" t="n">
        <v>138</v>
      </c>
      <c r="I521" s="18">
        <f>E521*H521</f>
        <v/>
      </c>
      <c r="J521" s="18">
        <f>F521*H521</f>
        <v/>
      </c>
      <c r="K521" s="28">
        <f>IF(H521&lt;=0, "Out of Stock", IF(H521&lt;=5, "Low Stock", "In Stock"))</f>
        <v/>
      </c>
      <c r="L521" s="28" t="inlineStr">
        <is>
          <t>2025-07-13 12:50 PM</t>
        </is>
      </c>
    </row>
    <row r="522">
      <c r="A522" s="26" t="inlineStr">
        <is>
          <t>8961014033861</t>
        </is>
      </c>
      <c r="B522" s="10" t="inlineStr">
        <is>
          <t>KNORR NOODLES CHAT PATTA RS.19</t>
        </is>
      </c>
      <c r="C522" s="10" t="inlineStr">
        <is>
          <t>Noodles</t>
        </is>
      </c>
      <c r="D522" s="10" t="inlineStr">
        <is>
          <t>Noodles</t>
        </is>
      </c>
      <c r="E522" s="13" t="n">
        <v>46</v>
      </c>
      <c r="F522" s="13" t="n">
        <v>50</v>
      </c>
      <c r="G522" s="13">
        <f>F522-E522</f>
        <v/>
      </c>
      <c r="H522" s="27" t="n">
        <v>315</v>
      </c>
      <c r="I522" s="13">
        <f>E522*H522</f>
        <v/>
      </c>
      <c r="J522" s="13">
        <f>F522*H522</f>
        <v/>
      </c>
      <c r="K522" s="26">
        <f>IF(H522&lt;=0, "Out of Stock", IF(H522&lt;=5, "Low Stock", "In Stock"))</f>
        <v/>
      </c>
      <c r="L522" s="26" t="inlineStr">
        <is>
          <t>2025-07-19 03:15 PM</t>
        </is>
      </c>
    </row>
    <row r="523">
      <c r="A523" s="28" t="inlineStr">
        <is>
          <t>8961014033847</t>
        </is>
      </c>
      <c r="B523" s="15" t="inlineStr">
        <is>
          <t>KNORR NOODLES FAMILY PACK CP</t>
        </is>
      </c>
      <c r="C523" s="15" t="inlineStr">
        <is>
          <t>Noodles</t>
        </is>
      </c>
      <c r="D523" s="15" t="inlineStr">
        <is>
          <t>Noodles</t>
        </is>
      </c>
      <c r="E523" s="18" t="n">
        <v>47</v>
      </c>
      <c r="F523" s="18" t="n">
        <v>50</v>
      </c>
      <c r="G523" s="18">
        <f>F523-E523</f>
        <v/>
      </c>
      <c r="H523" s="29" t="n">
        <v>18</v>
      </c>
      <c r="I523" s="18">
        <f>E523*H523</f>
        <v/>
      </c>
      <c r="J523" s="18">
        <f>F523*H523</f>
        <v/>
      </c>
      <c r="K523" s="28">
        <f>IF(H523&lt;=0, "Out of Stock", IF(H523&lt;=5, "Low Stock", "In Stock"))</f>
        <v/>
      </c>
      <c r="L523" s="28" t="inlineStr">
        <is>
          <t>2025-07-14 08:04 AM</t>
        </is>
      </c>
    </row>
    <row r="524">
      <c r="A524" s="26" t="inlineStr">
        <is>
          <t>8961008218892</t>
        </is>
      </c>
      <c r="B524" s="10" t="inlineStr">
        <is>
          <t>Nestle Nido NutiGrow</t>
        </is>
      </c>
      <c r="C524" s="10" t="inlineStr">
        <is>
          <t>Nutrition</t>
        </is>
      </c>
      <c r="D524" s="10" t="inlineStr">
        <is>
          <t>Nutrition</t>
        </is>
      </c>
      <c r="E524" s="13" t="n">
        <v>1058</v>
      </c>
      <c r="F524" s="13" t="n">
        <v>1150</v>
      </c>
      <c r="G524" s="13">
        <f>F524-E524</f>
        <v/>
      </c>
      <c r="H524" s="27" t="n">
        <v>11</v>
      </c>
      <c r="I524" s="13">
        <f>E524*H524</f>
        <v/>
      </c>
      <c r="J524" s="13">
        <f>F524*H524</f>
        <v/>
      </c>
      <c r="K524" s="26">
        <f>IF(H524&lt;=0, "Out of Stock", IF(H524&lt;=5, "Low Stock", "In Stock"))</f>
        <v/>
      </c>
      <c r="L524" s="26" t="inlineStr">
        <is>
          <t>2025-07-12 05:20 PM</t>
        </is>
      </c>
    </row>
    <row r="525">
      <c r="A525" s="28" t="inlineStr">
        <is>
          <t>717273508620</t>
        </is>
      </c>
      <c r="B525" s="15" t="inlineStr">
        <is>
          <t>Peanut Butter American Gurdian</t>
        </is>
      </c>
      <c r="C525" s="15" t="inlineStr">
        <is>
          <t>Nutrition</t>
        </is>
      </c>
      <c r="D525" s="15" t="inlineStr">
        <is>
          <t>Nutrition</t>
        </is>
      </c>
      <c r="E525" s="18" t="n">
        <v>1500</v>
      </c>
      <c r="F525" s="18" t="n">
        <v>1750</v>
      </c>
      <c r="G525" s="18">
        <f>F525-E525</f>
        <v/>
      </c>
      <c r="H525" s="29" t="n">
        <v>7</v>
      </c>
      <c r="I525" s="18">
        <f>E525*H525</f>
        <v/>
      </c>
      <c r="J525" s="18">
        <f>F525*H525</f>
        <v/>
      </c>
      <c r="K525" s="28">
        <f>IF(H525&lt;=0, "Out of Stock", IF(H525&lt;=5, "Low Stock", "In Stock"))</f>
        <v/>
      </c>
      <c r="L525" s="28" t="inlineStr">
        <is>
          <t>2025-07-12 05:57 PM</t>
        </is>
      </c>
    </row>
    <row r="526">
      <c r="A526" s="26" t="inlineStr">
        <is>
          <t>6954237224347</t>
        </is>
      </c>
      <c r="B526" s="10" t="inlineStr">
        <is>
          <t>Peanut Butter Nature Home</t>
        </is>
      </c>
      <c r="C526" s="10" t="inlineStr">
        <is>
          <t>Nutrition</t>
        </is>
      </c>
      <c r="D526" s="10" t="inlineStr">
        <is>
          <t>Nutrition</t>
        </is>
      </c>
      <c r="E526" s="13" t="n">
        <v>600</v>
      </c>
      <c r="F526" s="13" t="n">
        <v>800</v>
      </c>
      <c r="G526" s="13">
        <f>F526-E526</f>
        <v/>
      </c>
      <c r="H526" s="27" t="n">
        <v>15</v>
      </c>
      <c r="I526" s="13">
        <f>E526*H526</f>
        <v/>
      </c>
      <c r="J526" s="13">
        <f>F526*H526</f>
        <v/>
      </c>
      <c r="K526" s="26">
        <f>IF(H526&lt;=0, "Out of Stock", IF(H526&lt;=5, "Low Stock", "In Stock"))</f>
        <v/>
      </c>
      <c r="L526" s="26" t="inlineStr">
        <is>
          <t>2025-07-12 05:59 PM</t>
        </is>
      </c>
    </row>
    <row r="527">
      <c r="A527" s="28" t="inlineStr">
        <is>
          <t>6973724580155</t>
        </is>
      </c>
      <c r="B527" s="15" t="inlineStr">
        <is>
          <t>DENTEX TOOTHBRUSH</t>
        </is>
      </c>
      <c r="C527" s="15" t="inlineStr">
        <is>
          <t>Oral Care</t>
        </is>
      </c>
      <c r="D527" s="15" t="inlineStr">
        <is>
          <t>Toothbrush</t>
        </is>
      </c>
      <c r="E527" s="18" t="n">
        <v>60</v>
      </c>
      <c r="F527" s="18" t="n">
        <v>100</v>
      </c>
      <c r="G527" s="18">
        <f>F527-E527</f>
        <v/>
      </c>
      <c r="H527" s="29" t="n">
        <v>11</v>
      </c>
      <c r="I527" s="18">
        <f>E527*H527</f>
        <v/>
      </c>
      <c r="J527" s="18">
        <f>F527*H527</f>
        <v/>
      </c>
      <c r="K527" s="28">
        <f>IF(H527&lt;=0, "Out of Stock", IF(H527&lt;=5, "Low Stock", "In Stock"))</f>
        <v/>
      </c>
      <c r="L527" s="28" t="inlineStr">
        <is>
          <t>2025-07-14 10:59 AM</t>
        </is>
      </c>
    </row>
    <row r="528">
      <c r="A528" s="26" t="inlineStr">
        <is>
          <t>697291986557</t>
        </is>
      </c>
      <c r="B528" s="10" t="inlineStr">
        <is>
          <t>GOORAL TOOTHBRUSH</t>
        </is>
      </c>
      <c r="C528" s="10" t="inlineStr">
        <is>
          <t>Oral Care</t>
        </is>
      </c>
      <c r="D528" s="10" t="inlineStr">
        <is>
          <t>Toothbrush</t>
        </is>
      </c>
      <c r="E528" s="13" t="n">
        <v>65</v>
      </c>
      <c r="F528" s="13" t="n">
        <v>100</v>
      </c>
      <c r="G528" s="13">
        <f>F528-E528</f>
        <v/>
      </c>
      <c r="H528" s="27" t="n">
        <v>39</v>
      </c>
      <c r="I528" s="13">
        <f>E528*H528</f>
        <v/>
      </c>
      <c r="J528" s="13">
        <f>F528*H528</f>
        <v/>
      </c>
      <c r="K528" s="26">
        <f>IF(H528&lt;=0, "Out of Stock", IF(H528&lt;=5, "Low Stock", "In Stock"))</f>
        <v/>
      </c>
      <c r="L528" s="26" t="inlineStr">
        <is>
          <t>2025-07-14 10:58 AM</t>
        </is>
      </c>
    </row>
    <row r="529">
      <c r="A529" s="28" t="inlineStr">
        <is>
          <t>8886950052168</t>
        </is>
      </c>
      <c r="B529" s="15" t="inlineStr">
        <is>
          <t>COGATE HERBAL 150G</t>
        </is>
      </c>
      <c r="C529" s="15" t="inlineStr">
        <is>
          <t>Oral Care</t>
        </is>
      </c>
      <c r="D529" s="15" t="inlineStr">
        <is>
          <t>Toothpaste</t>
        </is>
      </c>
      <c r="E529" s="18" t="n">
        <v>250</v>
      </c>
      <c r="F529" s="18" t="n">
        <v>290</v>
      </c>
      <c r="G529" s="18">
        <f>F529-E529</f>
        <v/>
      </c>
      <c r="H529" s="29" t="n">
        <v>9</v>
      </c>
      <c r="I529" s="18">
        <f>E529*H529</f>
        <v/>
      </c>
      <c r="J529" s="18">
        <f>F529*H529</f>
        <v/>
      </c>
      <c r="K529" s="28">
        <f>IF(H529&lt;=0, "Out of Stock", IF(H529&lt;=5, "Low Stock", "In Stock"))</f>
        <v/>
      </c>
      <c r="L529" s="28" t="inlineStr">
        <is>
          <t>2025-07-14 10:47 AM</t>
        </is>
      </c>
    </row>
    <row r="530">
      <c r="A530" s="26" t="inlineStr">
        <is>
          <t>8964000515006</t>
        </is>
      </c>
      <c r="B530" s="10" t="inlineStr">
        <is>
          <t>DOCTOR TOOTHPASTE</t>
        </is>
      </c>
      <c r="C530" s="10" t="inlineStr">
        <is>
          <t>Oral Care</t>
        </is>
      </c>
      <c r="D530" s="10" t="inlineStr">
        <is>
          <t>Toothpaste</t>
        </is>
      </c>
      <c r="E530" s="13" t="n">
        <v>70</v>
      </c>
      <c r="F530" s="13" t="n">
        <v>90</v>
      </c>
      <c r="G530" s="13">
        <f>F530-E530</f>
        <v/>
      </c>
      <c r="H530" s="27" t="n">
        <v>8</v>
      </c>
      <c r="I530" s="13">
        <f>E530*H530</f>
        <v/>
      </c>
      <c r="J530" s="13">
        <f>F530*H530</f>
        <v/>
      </c>
      <c r="K530" s="26">
        <f>IF(H530&lt;=0, "Out of Stock", IF(H530&lt;=5, "Low Stock", "In Stock"))</f>
        <v/>
      </c>
      <c r="L530" s="26" t="inlineStr">
        <is>
          <t>2025-07-14 10:27 AM</t>
        </is>
      </c>
    </row>
    <row r="531">
      <c r="A531" s="28" t="inlineStr">
        <is>
          <t>6291101520113</t>
        </is>
      </c>
      <c r="B531" s="15" t="inlineStr">
        <is>
          <t>MEDICAM TOOTHPASTE</t>
        </is>
      </c>
      <c r="C531" s="15" t="inlineStr">
        <is>
          <t>Oral Care</t>
        </is>
      </c>
      <c r="D531" s="15" t="inlineStr">
        <is>
          <t>Toothpaste</t>
        </is>
      </c>
      <c r="E531" s="18" t="n">
        <v>170</v>
      </c>
      <c r="F531" s="18" t="n">
        <v>200</v>
      </c>
      <c r="G531" s="18">
        <f>F531-E531</f>
        <v/>
      </c>
      <c r="H531" s="29" t="n">
        <v>9</v>
      </c>
      <c r="I531" s="18">
        <f>E531*H531</f>
        <v/>
      </c>
      <c r="J531" s="18">
        <f>F531*H531</f>
        <v/>
      </c>
      <c r="K531" s="28">
        <f>IF(H531&lt;=0, "Out of Stock", IF(H531&lt;=5, "Low Stock", "In Stock"))</f>
        <v/>
      </c>
      <c r="L531" s="28" t="inlineStr">
        <is>
          <t>2025-08-01 01:15 PM</t>
        </is>
      </c>
    </row>
    <row r="532">
      <c r="A532" s="26" t="inlineStr">
        <is>
          <t>9200475780709</t>
        </is>
      </c>
      <c r="B532" s="10" t="inlineStr">
        <is>
          <t>SENSODYNE MULTICARE</t>
        </is>
      </c>
      <c r="C532" s="10" t="inlineStr">
        <is>
          <t>Oral Care</t>
        </is>
      </c>
      <c r="D532" s="10" t="inlineStr">
        <is>
          <t>Toothpaste</t>
        </is>
      </c>
      <c r="E532" s="13" t="n">
        <v>230</v>
      </c>
      <c r="F532" s="13" t="n">
        <v>260</v>
      </c>
      <c r="G532" s="13">
        <f>F532-E532</f>
        <v/>
      </c>
      <c r="H532" s="27" t="n">
        <v>8</v>
      </c>
      <c r="I532" s="13">
        <f>E532*H532</f>
        <v/>
      </c>
      <c r="J532" s="13">
        <f>F532*H532</f>
        <v/>
      </c>
      <c r="K532" s="26">
        <f>IF(H532&lt;=0, "Out of Stock", IF(H532&lt;=5, "Low Stock", "In Stock"))</f>
        <v/>
      </c>
      <c r="L532" s="26" t="inlineStr">
        <is>
          <t>2025-07-14 10:42 AM</t>
        </is>
      </c>
    </row>
    <row r="533">
      <c r="A533" s="28" t="inlineStr">
        <is>
          <t>8886950052229</t>
        </is>
      </c>
      <c r="B533" s="15" t="inlineStr">
        <is>
          <t>COGATE HERBAL</t>
        </is>
      </c>
      <c r="C533" s="15" t="inlineStr">
        <is>
          <t>Oral Care</t>
        </is>
      </c>
      <c r="D533" s="15" t="inlineStr">
        <is>
          <t>Tothpaste</t>
        </is>
      </c>
      <c r="E533" s="18" t="n">
        <v>52</v>
      </c>
      <c r="F533" s="18" t="n">
        <v>70</v>
      </c>
      <c r="G533" s="18">
        <f>F533-E533</f>
        <v/>
      </c>
      <c r="H533" s="29" t="n">
        <v>2</v>
      </c>
      <c r="I533" s="18">
        <f>E533*H533</f>
        <v/>
      </c>
      <c r="J533" s="18">
        <f>F533*H533</f>
        <v/>
      </c>
      <c r="K533" s="28">
        <f>IF(H533&lt;=0, "Out of Stock", IF(H533&lt;=5, "Low Stock", "In Stock"))</f>
        <v/>
      </c>
      <c r="L533" s="28" t="inlineStr">
        <is>
          <t>2025-07-14 10:45 AM</t>
        </is>
      </c>
    </row>
    <row r="534">
      <c r="A534" s="26" t="inlineStr">
        <is>
          <t>4567995365683</t>
        </is>
      </c>
      <c r="B534" s="10" t="inlineStr">
        <is>
          <t>SENSODYNE ORIGINAL</t>
        </is>
      </c>
      <c r="C534" s="10" t="inlineStr">
        <is>
          <t>Oral Care</t>
        </is>
      </c>
      <c r="D534" s="10" t="inlineStr">
        <is>
          <t>Tothpaste</t>
        </is>
      </c>
      <c r="E534" s="13" t="n">
        <v>230</v>
      </c>
      <c r="F534" s="13" t="n">
        <v>260</v>
      </c>
      <c r="G534" s="13">
        <f>F534-E534</f>
        <v/>
      </c>
      <c r="H534" s="27" t="n">
        <v>1</v>
      </c>
      <c r="I534" s="13">
        <f>E534*H534</f>
        <v/>
      </c>
      <c r="J534" s="13">
        <f>F534*H534</f>
        <v/>
      </c>
      <c r="K534" s="26">
        <f>IF(H534&lt;=0, "Out of Stock", IF(H534&lt;=5, "Low Stock", "In Stock"))</f>
        <v/>
      </c>
      <c r="L534" s="26" t="inlineStr">
        <is>
          <t>2025-07-14 10:42 AM</t>
        </is>
      </c>
    </row>
    <row r="535">
      <c r="A535" s="28" t="inlineStr">
        <is>
          <t>8964000585597</t>
        </is>
      </c>
      <c r="B535" s="15" t="inlineStr">
        <is>
          <t>PEANUT SALTED 100</t>
        </is>
      </c>
      <c r="C535" s="15" t="inlineStr">
        <is>
          <t>Peanut</t>
        </is>
      </c>
      <c r="D535" s="15" t="inlineStr">
        <is>
          <t>Peanut</t>
        </is>
      </c>
      <c r="E535" s="18" t="n">
        <v>89</v>
      </c>
      <c r="F535" s="18" t="n">
        <v>100</v>
      </c>
      <c r="G535" s="18">
        <f>F535-E535</f>
        <v/>
      </c>
      <c r="H535" s="29" t="n">
        <v>21</v>
      </c>
      <c r="I535" s="18">
        <f>E535*H535</f>
        <v/>
      </c>
      <c r="J535" s="18">
        <f>F535*H535</f>
        <v/>
      </c>
      <c r="K535" s="28">
        <f>IF(H535&lt;=0, "Out of Stock", IF(H535&lt;=5, "Low Stock", "In Stock"))</f>
        <v/>
      </c>
      <c r="L535" s="28" t="inlineStr">
        <is>
          <t>2025-07-15 08:45 AM</t>
        </is>
      </c>
    </row>
    <row r="536">
      <c r="A536" s="26" t="inlineStr">
        <is>
          <t>8961100087112</t>
        </is>
      </c>
      <c r="B536" s="10" t="inlineStr">
        <is>
          <t>PEANUT SALTED 60</t>
        </is>
      </c>
      <c r="C536" s="10" t="inlineStr">
        <is>
          <t>Peanut</t>
        </is>
      </c>
      <c r="D536" s="10" t="inlineStr">
        <is>
          <t>Peanut</t>
        </is>
      </c>
      <c r="E536" s="13" t="n">
        <v>53.62</v>
      </c>
      <c r="F536" s="13" t="n">
        <v>60</v>
      </c>
      <c r="G536" s="13">
        <f>F536-E536</f>
        <v/>
      </c>
      <c r="H536" s="27" t="n">
        <v>70</v>
      </c>
      <c r="I536" s="13">
        <f>E536*H536</f>
        <v/>
      </c>
      <c r="J536" s="13">
        <f>F536*H536</f>
        <v/>
      </c>
      <c r="K536" s="26">
        <f>IF(H536&lt;=0, "Out of Stock", IF(H536&lt;=5, "Low Stock", "In Stock"))</f>
        <v/>
      </c>
      <c r="L536" s="26" t="inlineStr">
        <is>
          <t>2025-07-15 08:48 AM</t>
        </is>
      </c>
    </row>
    <row r="537">
      <c r="A537" s="28" t="inlineStr">
        <is>
          <t>695240210083</t>
        </is>
      </c>
      <c r="B537" s="15" t="inlineStr">
        <is>
          <t>FOUNTAIN PEN DOLLAR</t>
        </is>
      </c>
      <c r="C537" s="15" t="inlineStr">
        <is>
          <t>Pen</t>
        </is>
      </c>
      <c r="D537" s="15" t="inlineStr">
        <is>
          <t>Pen</t>
        </is>
      </c>
      <c r="E537" s="18" t="n">
        <v>40</v>
      </c>
      <c r="F537" s="18" t="n">
        <v>60</v>
      </c>
      <c r="G537" s="18">
        <f>F537-E537</f>
        <v/>
      </c>
      <c r="H537" s="29" t="n">
        <v>8</v>
      </c>
      <c r="I537" s="18">
        <f>E537*H537</f>
        <v/>
      </c>
      <c r="J537" s="18">
        <f>F537*H537</f>
        <v/>
      </c>
      <c r="K537" s="28">
        <f>IF(H537&lt;=0, "Out of Stock", IF(H537&lt;=5, "Low Stock", "In Stock"))</f>
        <v/>
      </c>
      <c r="L537" s="28" t="inlineStr">
        <is>
          <t>2025-07-13 05:56 PM</t>
        </is>
      </c>
    </row>
    <row r="538">
      <c r="A538" s="26" t="inlineStr">
        <is>
          <t>695240208967</t>
        </is>
      </c>
      <c r="B538" s="10" t="inlineStr">
        <is>
          <t>FOUNTAIN PEN GLAM</t>
        </is>
      </c>
      <c r="C538" s="10" t="inlineStr">
        <is>
          <t>Pen</t>
        </is>
      </c>
      <c r="D538" s="10" t="inlineStr">
        <is>
          <t>Pen</t>
        </is>
      </c>
      <c r="E538" s="13" t="n">
        <v>40</v>
      </c>
      <c r="F538" s="13" t="n">
        <v>60</v>
      </c>
      <c r="G538" s="13">
        <f>F538-E538</f>
        <v/>
      </c>
      <c r="H538" s="27" t="n">
        <v>6</v>
      </c>
      <c r="I538" s="13">
        <f>E538*H538</f>
        <v/>
      </c>
      <c r="J538" s="13">
        <f>F538*H538</f>
        <v/>
      </c>
      <c r="K538" s="26">
        <f>IF(H538&lt;=0, "Out of Stock", IF(H538&lt;=5, "Low Stock", "In Stock"))</f>
        <v/>
      </c>
      <c r="L538" s="26" t="inlineStr">
        <is>
          <t>2025-07-13 05:56 PM</t>
        </is>
      </c>
    </row>
    <row r="539">
      <c r="A539" s="28" t="inlineStr">
        <is>
          <t>8961100472604</t>
        </is>
      </c>
      <c r="B539" s="15" t="inlineStr">
        <is>
          <t>PIANO PEN SKY</t>
        </is>
      </c>
      <c r="C539" s="15" t="inlineStr">
        <is>
          <t>Pen</t>
        </is>
      </c>
      <c r="D539" s="15" t="inlineStr">
        <is>
          <t>Pen</t>
        </is>
      </c>
      <c r="E539" s="18" t="n">
        <v>15</v>
      </c>
      <c r="F539" s="18" t="n">
        <v>20</v>
      </c>
      <c r="G539" s="18">
        <f>F539-E539</f>
        <v/>
      </c>
      <c r="H539" s="29" t="n">
        <v>55</v>
      </c>
      <c r="I539" s="18">
        <f>E539*H539</f>
        <v/>
      </c>
      <c r="J539" s="18">
        <f>F539*H539</f>
        <v/>
      </c>
      <c r="K539" s="28">
        <f>IF(H539&lt;=0, "Out of Stock", IF(H539&lt;=5, "Low Stock", "In Stock"))</f>
        <v/>
      </c>
      <c r="L539" s="28" t="inlineStr">
        <is>
          <t>2025-07-13 06:21 PM</t>
        </is>
      </c>
    </row>
    <row r="540">
      <c r="A540" s="26" t="inlineStr">
        <is>
          <t>601570621192</t>
        </is>
      </c>
      <c r="B540" s="10" t="inlineStr">
        <is>
          <t>PENCIL WOODY</t>
        </is>
      </c>
      <c r="C540" s="10" t="inlineStr">
        <is>
          <t>Pencil</t>
        </is>
      </c>
      <c r="D540" s="10" t="inlineStr">
        <is>
          <t>Pencil</t>
        </is>
      </c>
      <c r="E540" s="13" t="n">
        <v>8</v>
      </c>
      <c r="F540" s="13" t="n">
        <v>10</v>
      </c>
      <c r="G540" s="13">
        <f>F540-E540</f>
        <v/>
      </c>
      <c r="H540" s="27" t="n">
        <v>144</v>
      </c>
      <c r="I540" s="13">
        <f>E540*H540</f>
        <v/>
      </c>
      <c r="J540" s="13">
        <f>F540*H540</f>
        <v/>
      </c>
      <c r="K540" s="26">
        <f>IF(H540&lt;=0, "Out of Stock", IF(H540&lt;=5, "Low Stock", "In Stock"))</f>
        <v/>
      </c>
      <c r="L540" s="26" t="inlineStr">
        <is>
          <t>2025-07-13 06:28 PM</t>
        </is>
      </c>
    </row>
    <row r="541">
      <c r="A541" s="28" t="inlineStr">
        <is>
          <t>742761777189</t>
        </is>
      </c>
      <c r="B541" s="15" t="inlineStr">
        <is>
          <t>TRICON PENCIL</t>
        </is>
      </c>
      <c r="C541" s="15" t="inlineStr">
        <is>
          <t>Pencil</t>
        </is>
      </c>
      <c r="D541" s="15" t="inlineStr">
        <is>
          <t>Pencil</t>
        </is>
      </c>
      <c r="E541" s="18" t="n">
        <v>10</v>
      </c>
      <c r="F541" s="18" t="n">
        <v>20</v>
      </c>
      <c r="G541" s="18">
        <f>F541-E541</f>
        <v/>
      </c>
      <c r="H541" s="29" t="n">
        <v>48</v>
      </c>
      <c r="I541" s="18">
        <f>E541*H541</f>
        <v/>
      </c>
      <c r="J541" s="18">
        <f>F541*H541</f>
        <v/>
      </c>
      <c r="K541" s="28">
        <f>IF(H541&lt;=0, "Out of Stock", IF(H541&lt;=5, "Low Stock", "In Stock"))</f>
        <v/>
      </c>
      <c r="L541" s="28" t="inlineStr">
        <is>
          <t>2025-07-13 06:06 PM</t>
        </is>
      </c>
    </row>
    <row r="542">
      <c r="A542" s="26" t="inlineStr">
        <is>
          <t>4005900640802</t>
        </is>
      </c>
      <c r="B542" s="10" t="inlineStr">
        <is>
          <t>Nivea Men Deep Black Carbon</t>
        </is>
      </c>
      <c r="C542" s="10" t="inlineStr">
        <is>
          <t>Perfumes &amp; Body Sprays</t>
        </is>
      </c>
      <c r="D542" s="10" t="inlineStr">
        <is>
          <t>Body Spray</t>
        </is>
      </c>
      <c r="E542" s="13" t="n">
        <v>900</v>
      </c>
      <c r="F542" s="13" t="n">
        <v>1100</v>
      </c>
      <c r="G542" s="13">
        <f>F542-E542</f>
        <v/>
      </c>
      <c r="H542" s="27" t="n">
        <v>3</v>
      </c>
      <c r="I542" s="13">
        <f>E542*H542</f>
        <v/>
      </c>
      <c r="J542" s="13">
        <f>F542*H542</f>
        <v/>
      </c>
      <c r="K542" s="26">
        <f>IF(H542&lt;=0, "Out of Stock", IF(H542&lt;=5, "Low Stock", "In Stock"))</f>
        <v/>
      </c>
      <c r="L542" s="26" t="inlineStr">
        <is>
          <t>2025-07-12 04:53 PM</t>
        </is>
      </c>
    </row>
    <row r="543">
      <c r="A543" s="28" t="inlineStr">
        <is>
          <t>4005900517982</t>
        </is>
      </c>
      <c r="B543" s="15" t="inlineStr">
        <is>
          <t>Nivea Men Deep Dark Wood</t>
        </is>
      </c>
      <c r="C543" s="15" t="inlineStr">
        <is>
          <t>Perfumes &amp; Body Sprays</t>
        </is>
      </c>
      <c r="D543" s="15" t="inlineStr">
        <is>
          <t>Body Spray</t>
        </is>
      </c>
      <c r="E543" s="18" t="n">
        <v>900</v>
      </c>
      <c r="F543" s="18" t="n">
        <v>1100</v>
      </c>
      <c r="G543" s="18">
        <f>F543-E543</f>
        <v/>
      </c>
      <c r="H543" s="29" t="n">
        <v>1</v>
      </c>
      <c r="I543" s="18">
        <f>E543*H543</f>
        <v/>
      </c>
      <c r="J543" s="18">
        <f>F543*H543</f>
        <v/>
      </c>
      <c r="K543" s="28">
        <f>IF(H543&lt;=0, "Out of Stock", IF(H543&lt;=5, "Low Stock", "In Stock"))</f>
        <v/>
      </c>
      <c r="L543" s="28" t="inlineStr">
        <is>
          <t>2025-07-12 04:56 PM</t>
        </is>
      </c>
    </row>
    <row r="544">
      <c r="A544" s="26" t="inlineStr">
        <is>
          <t>4005808816002</t>
        </is>
      </c>
      <c r="B544" s="10" t="inlineStr">
        <is>
          <t>Nivea Men Fresh Active</t>
        </is>
      </c>
      <c r="C544" s="10" t="inlineStr">
        <is>
          <t>Perfumes &amp; Body Sprays</t>
        </is>
      </c>
      <c r="D544" s="10" t="inlineStr">
        <is>
          <t>Body Spray</t>
        </is>
      </c>
      <c r="E544" s="13" t="n">
        <v>900</v>
      </c>
      <c r="F544" s="13" t="n">
        <v>1100</v>
      </c>
      <c r="G544" s="13">
        <f>F544-E544</f>
        <v/>
      </c>
      <c r="H544" s="27" t="n">
        <v>7</v>
      </c>
      <c r="I544" s="13">
        <f>E544*H544</f>
        <v/>
      </c>
      <c r="J544" s="13">
        <f>F544*H544</f>
        <v/>
      </c>
      <c r="K544" s="26">
        <f>IF(H544&lt;=0, "Out of Stock", IF(H544&lt;=5, "Low Stock", "In Stock"))</f>
        <v/>
      </c>
      <c r="L544" s="26" t="inlineStr">
        <is>
          <t>2025-07-12 04:54 PM</t>
        </is>
      </c>
    </row>
    <row r="545">
      <c r="A545" s="28" t="inlineStr">
        <is>
          <t>4005800327988</t>
        </is>
      </c>
      <c r="B545" s="15" t="inlineStr">
        <is>
          <t>Nivea Men Fresh S</t>
        </is>
      </c>
      <c r="C545" s="15" t="inlineStr">
        <is>
          <t>Perfumes &amp; Body Sprays</t>
        </is>
      </c>
      <c r="D545" s="15" t="inlineStr">
        <is>
          <t>Body Spray</t>
        </is>
      </c>
      <c r="E545" s="18" t="n">
        <v>900</v>
      </c>
      <c r="F545" s="18" t="n">
        <v>1100</v>
      </c>
      <c r="G545" s="18">
        <f>F545-E545</f>
        <v/>
      </c>
      <c r="H545" s="29" t="n">
        <v>1</v>
      </c>
      <c r="I545" s="18">
        <f>E545*H545</f>
        <v/>
      </c>
      <c r="J545" s="18">
        <f>F545*H545</f>
        <v/>
      </c>
      <c r="K545" s="28">
        <f>IF(H545&lt;=0, "Out of Stock", IF(H545&lt;=5, "Low Stock", "In Stock"))</f>
        <v/>
      </c>
      <c r="L545" s="28" t="inlineStr">
        <is>
          <t>2025-07-12 04:58 PM</t>
        </is>
      </c>
    </row>
    <row r="546">
      <c r="A546" s="26" t="inlineStr">
        <is>
          <t>PROD-20250712-230126-Perfume</t>
        </is>
      </c>
      <c r="B546" s="10" t="inlineStr">
        <is>
          <t>Cologne Spray</t>
        </is>
      </c>
      <c r="C546" s="10" t="inlineStr">
        <is>
          <t>Perfumes &amp; Body Sprays</t>
        </is>
      </c>
      <c r="D546" s="10" t="inlineStr">
        <is>
          <t>Perfume</t>
        </is>
      </c>
      <c r="E546" s="13" t="n">
        <v>680</v>
      </c>
      <c r="F546" s="13" t="n">
        <v>950</v>
      </c>
      <c r="G546" s="13">
        <f>F546-E546</f>
        <v/>
      </c>
      <c r="H546" s="27" t="n">
        <v>12</v>
      </c>
      <c r="I546" s="13">
        <f>E546*H546</f>
        <v/>
      </c>
      <c r="J546" s="13">
        <f>F546*H546</f>
        <v/>
      </c>
      <c r="K546" s="26">
        <f>IF(H546&lt;=0, "Out of Stock", IF(H546&lt;=5, "Low Stock", "In Stock"))</f>
        <v/>
      </c>
      <c r="L546" s="26" t="inlineStr">
        <is>
          <t>2025-07-12 06:02 PM</t>
        </is>
      </c>
    </row>
    <row r="547">
      <c r="A547" s="28" t="inlineStr">
        <is>
          <t>PROD-20250712-230300-Spray S</t>
        </is>
      </c>
      <c r="B547" s="15" t="inlineStr">
        <is>
          <t>Glamour Spray</t>
        </is>
      </c>
      <c r="C547" s="15" t="inlineStr">
        <is>
          <t>Perfumes &amp; Body Sprays</t>
        </is>
      </c>
      <c r="D547" s="15" t="inlineStr">
        <is>
          <t>Perfume</t>
        </is>
      </c>
      <c r="E547" s="18" t="n">
        <v>133</v>
      </c>
      <c r="F547" s="18" t="n">
        <v>250</v>
      </c>
      <c r="G547" s="18">
        <f>F547-E547</f>
        <v/>
      </c>
      <c r="H547" s="29" t="n">
        <v>22</v>
      </c>
      <c r="I547" s="18">
        <f>E547*H547</f>
        <v/>
      </c>
      <c r="J547" s="18">
        <f>F547*H547</f>
        <v/>
      </c>
      <c r="K547" s="28">
        <f>IF(H547&lt;=0, "Out of Stock", IF(H547&lt;=5, "Low Stock", "In Stock"))</f>
        <v/>
      </c>
      <c r="L547" s="28" t="inlineStr">
        <is>
          <t>2025-07-12 06:06 PM</t>
        </is>
      </c>
    </row>
    <row r="548">
      <c r="A548" s="26" t="inlineStr">
        <is>
          <t>8001841299211</t>
        </is>
      </c>
      <c r="B548" s="10" t="inlineStr">
        <is>
          <t>HEAD &amp; SHOULDERS</t>
        </is>
      </c>
      <c r="C548" s="10" t="inlineStr">
        <is>
          <t>Personal Care &amp; Hygiene</t>
        </is>
      </c>
      <c r="D548" s="10" t="inlineStr">
        <is>
          <t>Shampo</t>
        </is>
      </c>
      <c r="E548" s="13" t="n">
        <v>395</v>
      </c>
      <c r="F548" s="13" t="n">
        <v>470</v>
      </c>
      <c r="G548" s="13">
        <f>F548-E548</f>
        <v/>
      </c>
      <c r="H548" s="27" t="n">
        <v>5</v>
      </c>
      <c r="I548" s="13">
        <f>E548*H548</f>
        <v/>
      </c>
      <c r="J548" s="13">
        <f>F548*H548</f>
        <v/>
      </c>
      <c r="K548" s="26">
        <f>IF(H548&lt;=0, "Out of Stock", IF(H548&lt;=5, "Low Stock", "In Stock"))</f>
        <v/>
      </c>
      <c r="L548" s="26" t="inlineStr">
        <is>
          <t>2025-07-15 09:16 AM</t>
        </is>
      </c>
    </row>
    <row r="549">
      <c r="A549" s="28" t="inlineStr">
        <is>
          <t>6928001834919</t>
        </is>
      </c>
      <c r="B549" s="15" t="inlineStr">
        <is>
          <t>ALOE VERA 80ML</t>
        </is>
      </c>
      <c r="C549" s="15" t="inlineStr">
        <is>
          <t>Personal Care &amp; Hygiene</t>
        </is>
      </c>
      <c r="D549" s="15" t="inlineStr">
        <is>
          <t>Shampoo</t>
        </is>
      </c>
      <c r="E549" s="18" t="n">
        <v>110</v>
      </c>
      <c r="F549" s="18" t="n">
        <v>150</v>
      </c>
      <c r="G549" s="18">
        <f>F549-E549</f>
        <v/>
      </c>
      <c r="H549" s="29" t="n">
        <v>12</v>
      </c>
      <c r="I549" s="18">
        <f>E549*H549</f>
        <v/>
      </c>
      <c r="J549" s="18">
        <f>F549*H549</f>
        <v/>
      </c>
      <c r="K549" s="28">
        <f>IF(H549&lt;=0, "Out of Stock", IF(H549&lt;=5, "Low Stock", "In Stock"))</f>
        <v/>
      </c>
      <c r="L549" s="28" t="inlineStr">
        <is>
          <t>2025-07-14 03:17 PM</t>
        </is>
      </c>
    </row>
    <row r="550">
      <c r="A550" s="26" t="inlineStr">
        <is>
          <t>6009689191003</t>
        </is>
      </c>
      <c r="B550" s="10" t="inlineStr">
        <is>
          <t>BIO AMLA SHAMPOO</t>
        </is>
      </c>
      <c r="C550" s="10" t="inlineStr">
        <is>
          <t>Personal Care &amp; Hygiene</t>
        </is>
      </c>
      <c r="D550" s="10" t="inlineStr">
        <is>
          <t>Shampoo</t>
        </is>
      </c>
      <c r="E550" s="13" t="n">
        <v>345</v>
      </c>
      <c r="F550" s="13" t="n">
        <v>700</v>
      </c>
      <c r="G550" s="13">
        <f>F550-E550</f>
        <v/>
      </c>
      <c r="H550" s="27" t="n">
        <v>4</v>
      </c>
      <c r="I550" s="13">
        <f>E550*H550</f>
        <v/>
      </c>
      <c r="J550" s="13">
        <f>F550*H550</f>
        <v/>
      </c>
      <c r="K550" s="26">
        <f>IF(H550&lt;=0, "Out of Stock", IF(H550&lt;=5, "Low Stock", "In Stock"))</f>
        <v/>
      </c>
      <c r="L550" s="26" t="inlineStr">
        <is>
          <t>2025-07-15 09:04 AM</t>
        </is>
      </c>
    </row>
    <row r="551">
      <c r="A551" s="28" t="inlineStr">
        <is>
          <t>8961014255584</t>
        </is>
      </c>
      <c r="B551" s="15" t="inlineStr">
        <is>
          <t>CLEAR MEN SACHET</t>
        </is>
      </c>
      <c r="C551" s="15" t="inlineStr">
        <is>
          <t>Personal Care &amp; Hygiene</t>
        </is>
      </c>
      <c r="D551" s="15" t="inlineStr">
        <is>
          <t>Shampoo</t>
        </is>
      </c>
      <c r="E551" s="18" t="n">
        <v>4</v>
      </c>
      <c r="F551" s="18" t="n">
        <v>6</v>
      </c>
      <c r="G551" s="18">
        <f>F551-E551</f>
        <v/>
      </c>
      <c r="H551" s="29" t="n">
        <v>137</v>
      </c>
      <c r="I551" s="18">
        <f>E551*H551</f>
        <v/>
      </c>
      <c r="J551" s="18">
        <f>F551*H551</f>
        <v/>
      </c>
      <c r="K551" s="28">
        <f>IF(H551&lt;=0, "Out of Stock", IF(H551&lt;=5, "Low Stock", "In Stock"))</f>
        <v/>
      </c>
      <c r="L551" s="28" t="inlineStr">
        <is>
          <t>2025-07-15 04:38 PM</t>
        </is>
      </c>
    </row>
    <row r="552">
      <c r="A552" s="26" t="inlineStr">
        <is>
          <t>8961014245158</t>
        </is>
      </c>
      <c r="B552" s="10" t="inlineStr">
        <is>
          <t>CLEAR SHAMPOO</t>
        </is>
      </c>
      <c r="C552" s="10" t="inlineStr">
        <is>
          <t>Personal Care &amp; Hygiene</t>
        </is>
      </c>
      <c r="D552" s="10" t="inlineStr">
        <is>
          <t>Shampoo</t>
        </is>
      </c>
      <c r="E552" s="13" t="n">
        <v>415</v>
      </c>
      <c r="F552" s="13" t="n">
        <v>470</v>
      </c>
      <c r="G552" s="13">
        <f>F552-E552</f>
        <v/>
      </c>
      <c r="H552" s="27" t="n">
        <v>3</v>
      </c>
      <c r="I552" s="13">
        <f>E552*H552</f>
        <v/>
      </c>
      <c r="J552" s="13">
        <f>F552*H552</f>
        <v/>
      </c>
      <c r="K552" s="26">
        <f>IF(H552&lt;=0, "Out of Stock", IF(H552&lt;=5, "Low Stock", "In Stock"))</f>
        <v/>
      </c>
      <c r="L552" s="26" t="inlineStr">
        <is>
          <t>2025-07-15 09:18 AM</t>
        </is>
      </c>
    </row>
    <row r="553">
      <c r="A553" s="28" t="inlineStr">
        <is>
          <t>8961014260786</t>
        </is>
      </c>
      <c r="B553" s="15" t="inlineStr">
        <is>
          <t>DOVE DRYNESS CARE</t>
        </is>
      </c>
      <c r="C553" s="15" t="inlineStr">
        <is>
          <t>Personal Care &amp; Hygiene</t>
        </is>
      </c>
      <c r="D553" s="15" t="inlineStr">
        <is>
          <t>Shampoo</t>
        </is>
      </c>
      <c r="E553" s="18" t="n">
        <v>390</v>
      </c>
      <c r="F553" s="18" t="n">
        <v>550</v>
      </c>
      <c r="G553" s="18">
        <f>F553-E553</f>
        <v/>
      </c>
      <c r="H553" s="29" t="n">
        <v>1</v>
      </c>
      <c r="I553" s="18">
        <f>E553*H553</f>
        <v/>
      </c>
      <c r="J553" s="18">
        <f>F553*H553</f>
        <v/>
      </c>
      <c r="K553" s="28">
        <f>IF(H553&lt;=0, "Out of Stock", IF(H553&lt;=5, "Low Stock", "In Stock"))</f>
        <v/>
      </c>
      <c r="L553" s="28" t="inlineStr">
        <is>
          <t>2025-07-15 09:38 AM</t>
        </is>
      </c>
    </row>
    <row r="554">
      <c r="A554" s="26" t="inlineStr">
        <is>
          <t>8961014257458</t>
        </is>
      </c>
      <c r="B554" s="10" t="inlineStr">
        <is>
          <t>DOVE SACHET HAIR FALL RESCUE</t>
        </is>
      </c>
      <c r="C554" s="10" t="inlineStr">
        <is>
          <t>Personal Care &amp; Hygiene</t>
        </is>
      </c>
      <c r="D554" s="10" t="inlineStr">
        <is>
          <t>Shampoo</t>
        </is>
      </c>
      <c r="E554" s="13" t="n">
        <v>18</v>
      </c>
      <c r="F554" s="13" t="n">
        <v>20</v>
      </c>
      <c r="G554" s="13">
        <f>F554-E554</f>
        <v/>
      </c>
      <c r="H554" s="27" t="n">
        <v>24</v>
      </c>
      <c r="I554" s="13">
        <f>E554*H554</f>
        <v/>
      </c>
      <c r="J554" s="13">
        <f>F554*H554</f>
        <v/>
      </c>
      <c r="K554" s="26">
        <f>IF(H554&lt;=0, "Out of Stock", IF(H554&lt;=5, "Low Stock", "In Stock"))</f>
        <v/>
      </c>
      <c r="L554" s="26" t="inlineStr">
        <is>
          <t>2025-07-15 04:50 PM</t>
        </is>
      </c>
    </row>
    <row r="555">
      <c r="A555" s="28" t="inlineStr">
        <is>
          <t>8961014260779</t>
        </is>
      </c>
      <c r="B555" s="15" t="inlineStr">
        <is>
          <t>DOVE SHAMPOO HAIR FALL RESCUE</t>
        </is>
      </c>
      <c r="C555" s="15" t="inlineStr">
        <is>
          <t>Personal Care &amp; Hygiene</t>
        </is>
      </c>
      <c r="D555" s="15" t="inlineStr">
        <is>
          <t>Shampoo</t>
        </is>
      </c>
      <c r="E555" s="18" t="n">
        <v>390</v>
      </c>
      <c r="F555" s="18" t="n">
        <v>550</v>
      </c>
      <c r="G555" s="18">
        <f>F555-E555</f>
        <v/>
      </c>
      <c r="H555" s="29" t="n">
        <v>4</v>
      </c>
      <c r="I555" s="18">
        <f>E555*H555</f>
        <v/>
      </c>
      <c r="J555" s="18">
        <f>F555*H555</f>
        <v/>
      </c>
      <c r="K555" s="28">
        <f>IF(H555&lt;=0, "Out of Stock", IF(H555&lt;=5, "Low Stock", "In Stock"))</f>
        <v/>
      </c>
      <c r="L555" s="28" t="inlineStr">
        <is>
          <t>2025-07-15 09:37 AM</t>
        </is>
      </c>
    </row>
    <row r="556">
      <c r="A556" s="26" t="inlineStr">
        <is>
          <t>8961014260793</t>
        </is>
      </c>
      <c r="B556" s="10" t="inlineStr">
        <is>
          <t>DOVE SHAMPOO OIL CARE</t>
        </is>
      </c>
      <c r="C556" s="10" t="inlineStr">
        <is>
          <t>Personal Care &amp; Hygiene</t>
        </is>
      </c>
      <c r="D556" s="10" t="inlineStr">
        <is>
          <t>Shampoo</t>
        </is>
      </c>
      <c r="E556" s="13" t="n">
        <v>390</v>
      </c>
      <c r="F556" s="13" t="n">
        <v>550</v>
      </c>
      <c r="G556" s="13">
        <f>F556-E556</f>
        <v/>
      </c>
      <c r="H556" s="27" t="n">
        <v>1</v>
      </c>
      <c r="I556" s="13">
        <f>E556*H556</f>
        <v/>
      </c>
      <c r="J556" s="13">
        <f>F556*H556</f>
        <v/>
      </c>
      <c r="K556" s="26">
        <f>IF(H556&lt;=0, "Out of Stock", IF(H556&lt;=5, "Low Stock", "In Stock"))</f>
        <v/>
      </c>
      <c r="L556" s="26" t="inlineStr">
        <is>
          <t>2025-07-15 09:39 AM</t>
        </is>
      </c>
    </row>
    <row r="557">
      <c r="A557" s="28" t="inlineStr">
        <is>
          <t>8961014261141</t>
        </is>
      </c>
      <c r="B557" s="15" t="inlineStr">
        <is>
          <t>LIFEBUOY SHAMPOO 200ML HS</t>
        </is>
      </c>
      <c r="C557" s="15" t="inlineStr">
        <is>
          <t>Personal Care &amp; Hygiene</t>
        </is>
      </c>
      <c r="D557" s="15" t="inlineStr">
        <is>
          <t>Shampoo</t>
        </is>
      </c>
      <c r="E557" s="18" t="n">
        <v>314</v>
      </c>
      <c r="F557" s="18" t="n">
        <v>370</v>
      </c>
      <c r="G557" s="18">
        <f>F557-E557</f>
        <v/>
      </c>
      <c r="H557" s="29" t="n">
        <v>8</v>
      </c>
      <c r="I557" s="18">
        <f>E557*H557</f>
        <v/>
      </c>
      <c r="J557" s="18">
        <f>F557*H557</f>
        <v/>
      </c>
      <c r="K557" s="28">
        <f>IF(H557&lt;=0, "Out of Stock", IF(H557&lt;=5, "Low Stock", "In Stock"))</f>
        <v/>
      </c>
      <c r="L557" s="28" t="inlineStr">
        <is>
          <t>2025-07-15 09:28 AM</t>
        </is>
      </c>
    </row>
    <row r="558">
      <c r="A558" s="26" t="inlineStr">
        <is>
          <t>8961014255959</t>
        </is>
      </c>
      <c r="B558" s="10" t="inlineStr">
        <is>
          <t>LIFEBUOY SHAMPOO 200ML NS</t>
        </is>
      </c>
      <c r="C558" s="10" t="inlineStr">
        <is>
          <t>Personal Care &amp; Hygiene</t>
        </is>
      </c>
      <c r="D558" s="10" t="inlineStr">
        <is>
          <t>Shampoo</t>
        </is>
      </c>
      <c r="E558" s="13" t="n">
        <v>314</v>
      </c>
      <c r="F558" s="13" t="n">
        <v>370</v>
      </c>
      <c r="G558" s="13">
        <f>F558-E558</f>
        <v/>
      </c>
      <c r="H558" s="27" t="n">
        <v>10</v>
      </c>
      <c r="I558" s="13">
        <f>E558*H558</f>
        <v/>
      </c>
      <c r="J558" s="13">
        <f>F558*H558</f>
        <v/>
      </c>
      <c r="K558" s="26">
        <f>IF(H558&lt;=0, "Out of Stock", IF(H558&lt;=5, "Low Stock", "In Stock"))</f>
        <v/>
      </c>
      <c r="L558" s="26" t="inlineStr">
        <is>
          <t>2025-07-15 09:27 AM</t>
        </is>
      </c>
    </row>
    <row r="559">
      <c r="A559" s="28" t="inlineStr">
        <is>
          <t>8001841918570</t>
        </is>
      </c>
      <c r="B559" s="15" t="inlineStr">
        <is>
          <t>PANTENE SACHET SHAMPOO</t>
        </is>
      </c>
      <c r="C559" s="15" t="inlineStr">
        <is>
          <t>Personal Care &amp; Hygiene</t>
        </is>
      </c>
      <c r="D559" s="15" t="inlineStr">
        <is>
          <t>Shampoo</t>
        </is>
      </c>
      <c r="E559" s="18" t="n">
        <v>4.5</v>
      </c>
      <c r="F559" s="18" t="n">
        <v>6</v>
      </c>
      <c r="G559" s="18">
        <f>F559-E559</f>
        <v/>
      </c>
      <c r="H559" s="29" t="n">
        <v>140</v>
      </c>
      <c r="I559" s="18">
        <f>E559*H559</f>
        <v/>
      </c>
      <c r="J559" s="18">
        <f>F559*H559</f>
        <v/>
      </c>
      <c r="K559" s="28">
        <f>IF(H559&lt;=0, "Out of Stock", IF(H559&lt;=5, "Low Stock", "In Stock"))</f>
        <v/>
      </c>
      <c r="L559" s="28" t="inlineStr">
        <is>
          <t>2025-07-15 04:43 PM</t>
        </is>
      </c>
    </row>
    <row r="560">
      <c r="A560" s="26" t="inlineStr">
        <is>
          <t>8961014003116</t>
        </is>
      </c>
      <c r="B560" s="10" t="inlineStr">
        <is>
          <t>SUNSILK 100ML</t>
        </is>
      </c>
      <c r="C560" s="10" t="inlineStr">
        <is>
          <t>Personal Care &amp; Hygiene</t>
        </is>
      </c>
      <c r="D560" s="10" t="inlineStr">
        <is>
          <t>Shampoo</t>
        </is>
      </c>
      <c r="E560" s="13" t="n">
        <v>171</v>
      </c>
      <c r="F560" s="13" t="n">
        <v>190</v>
      </c>
      <c r="G560" s="13">
        <f>F560-E560</f>
        <v/>
      </c>
      <c r="H560" s="27" t="n">
        <v>22</v>
      </c>
      <c r="I560" s="13">
        <f>E560*H560</f>
        <v/>
      </c>
      <c r="J560" s="13">
        <f>F560*H560</f>
        <v/>
      </c>
      <c r="K560" s="26">
        <f>IF(H560&lt;=0, "Out of Stock", IF(H560&lt;=5, "Low Stock", "In Stock"))</f>
        <v/>
      </c>
      <c r="L560" s="26" t="inlineStr">
        <is>
          <t>2025-07-15 09:23 AM</t>
        </is>
      </c>
    </row>
    <row r="561">
      <c r="A561" s="28" t="inlineStr">
        <is>
          <t>8961014250367</t>
        </is>
      </c>
      <c r="B561" s="15" t="inlineStr">
        <is>
          <t>SUNSILK 200 ML</t>
        </is>
      </c>
      <c r="C561" s="15" t="inlineStr">
        <is>
          <t>Personal Care &amp; Hygiene</t>
        </is>
      </c>
      <c r="D561" s="15" t="inlineStr">
        <is>
          <t>Shampoo</t>
        </is>
      </c>
      <c r="E561" s="18" t="n">
        <v>379</v>
      </c>
      <c r="F561" s="18" t="n">
        <v>440</v>
      </c>
      <c r="G561" s="18">
        <f>F561-E561</f>
        <v/>
      </c>
      <c r="H561" s="29" t="n">
        <v>20</v>
      </c>
      <c r="I561" s="18">
        <f>E561*H561</f>
        <v/>
      </c>
      <c r="J561" s="18">
        <f>F561*H561</f>
        <v/>
      </c>
      <c r="K561" s="28">
        <f>IF(H561&lt;=0, "Out of Stock", IF(H561&lt;=5, "Low Stock", "In Stock"))</f>
        <v/>
      </c>
      <c r="L561" s="28" t="inlineStr">
        <is>
          <t>2025-07-15 09:24 AM</t>
        </is>
      </c>
    </row>
    <row r="562">
      <c r="A562" s="26" t="inlineStr">
        <is>
          <t>8851932353915</t>
        </is>
      </c>
      <c r="B562" s="10" t="inlineStr">
        <is>
          <t>SUNSILK 320ML GN</t>
        </is>
      </c>
      <c r="C562" s="10" t="inlineStr">
        <is>
          <t>Personal Care &amp; Hygiene</t>
        </is>
      </c>
      <c r="D562" s="10" t="inlineStr">
        <is>
          <t>Shampoo</t>
        </is>
      </c>
      <c r="E562" s="13" t="n">
        <v>300</v>
      </c>
      <c r="F562" s="13" t="n">
        <v>400</v>
      </c>
      <c r="G562" s="13">
        <f>F562-E562</f>
        <v/>
      </c>
      <c r="H562" s="27" t="n">
        <v>1</v>
      </c>
      <c r="I562" s="13">
        <f>E562*H562</f>
        <v/>
      </c>
      <c r="J562" s="13">
        <f>F562*H562</f>
        <v/>
      </c>
      <c r="K562" s="26">
        <f>IF(H562&lt;=0, "Out of Stock", IF(H562&lt;=5, "Low Stock", "In Stock"))</f>
        <v/>
      </c>
      <c r="L562" s="26" t="inlineStr">
        <is>
          <t>2025-07-15 11:53 AM</t>
        </is>
      </c>
    </row>
    <row r="563">
      <c r="A563" s="28" t="inlineStr">
        <is>
          <t>8851932353885</t>
        </is>
      </c>
      <c r="B563" s="15" t="inlineStr">
        <is>
          <t>SUNSILK 320ML PINK</t>
        </is>
      </c>
      <c r="C563" s="15" t="inlineStr">
        <is>
          <t>Personal Care &amp; Hygiene</t>
        </is>
      </c>
      <c r="D563" s="15" t="inlineStr">
        <is>
          <t>Shampoo</t>
        </is>
      </c>
      <c r="E563" s="18" t="n">
        <v>300</v>
      </c>
      <c r="F563" s="18" t="n">
        <v>400</v>
      </c>
      <c r="G563" s="18">
        <f>F563-E563</f>
        <v/>
      </c>
      <c r="H563" s="29" t="n">
        <v>1</v>
      </c>
      <c r="I563" s="18">
        <f>E563*H563</f>
        <v/>
      </c>
      <c r="J563" s="18">
        <f>F563*H563</f>
        <v/>
      </c>
      <c r="K563" s="28">
        <f>IF(H563&lt;=0, "Out of Stock", IF(H563&lt;=5, "Low Stock", "In Stock"))</f>
        <v/>
      </c>
      <c r="L563" s="28" t="inlineStr">
        <is>
          <t>2025-07-15 11:51 AM</t>
        </is>
      </c>
    </row>
    <row r="564">
      <c r="A564" s="26" t="inlineStr">
        <is>
          <t>8961014255454</t>
        </is>
      </c>
      <c r="B564" s="10" t="inlineStr">
        <is>
          <t>SUNSILK SACHET SHAMPOO</t>
        </is>
      </c>
      <c r="C564" s="10" t="inlineStr">
        <is>
          <t>Personal Care &amp; Hygiene</t>
        </is>
      </c>
      <c r="D564" s="10" t="inlineStr">
        <is>
          <t>Shampoo</t>
        </is>
      </c>
      <c r="E564" s="13" t="n">
        <v>9</v>
      </c>
      <c r="F564" s="13" t="n">
        <v>10</v>
      </c>
      <c r="G564" s="13">
        <f>F564-E564</f>
        <v/>
      </c>
      <c r="H564" s="27" t="n">
        <v>21</v>
      </c>
      <c r="I564" s="13">
        <f>E564*H564</f>
        <v/>
      </c>
      <c r="J564" s="13">
        <f>F564*H564</f>
        <v/>
      </c>
      <c r="K564" s="26">
        <f>IF(H564&lt;=0, "Out of Stock", IF(H564&lt;=5, "Low Stock", "In Stock"))</f>
        <v/>
      </c>
      <c r="L564" s="26" t="inlineStr">
        <is>
          <t>2025-07-15 04:46 PM</t>
        </is>
      </c>
    </row>
    <row r="565">
      <c r="A565" s="28" t="inlineStr">
        <is>
          <t>6291069208221</t>
        </is>
      </c>
      <c r="B565" s="15" t="inlineStr">
        <is>
          <t>VATIKA SHAMPOO</t>
        </is>
      </c>
      <c r="C565" s="15" t="inlineStr">
        <is>
          <t>Personal Care &amp; Hygiene</t>
        </is>
      </c>
      <c r="D565" s="15" t="inlineStr">
        <is>
          <t>Shampoo</t>
        </is>
      </c>
      <c r="E565" s="18" t="n">
        <v>200</v>
      </c>
      <c r="F565" s="18" t="n">
        <v>240</v>
      </c>
      <c r="G565" s="18">
        <f>F565-E565</f>
        <v/>
      </c>
      <c r="H565" s="29" t="n">
        <v>1</v>
      </c>
      <c r="I565" s="18">
        <f>E565*H565</f>
        <v/>
      </c>
      <c r="J565" s="18">
        <f>F565*H565</f>
        <v/>
      </c>
      <c r="K565" s="28">
        <f>IF(H565&lt;=0, "Out of Stock", IF(H565&lt;=5, "Low Stock", "In Stock"))</f>
        <v/>
      </c>
      <c r="L565" s="28" t="inlineStr">
        <is>
          <t>2025-07-15 11:53 AM</t>
        </is>
      </c>
    </row>
    <row r="566">
      <c r="A566" s="26" t="inlineStr">
        <is>
          <t>6001106209506</t>
        </is>
      </c>
      <c r="B566" s="10" t="inlineStr">
        <is>
          <t>DETTOL SOAP</t>
        </is>
      </c>
      <c r="C566" s="10" t="inlineStr">
        <is>
          <t>Personal Care &amp; Hygiene</t>
        </is>
      </c>
      <c r="D566" s="10" t="inlineStr">
        <is>
          <t>Soap</t>
        </is>
      </c>
      <c r="E566" s="13" t="n">
        <v>127</v>
      </c>
      <c r="F566" s="13" t="n">
        <v>150</v>
      </c>
      <c r="G566" s="13">
        <f>F566-E566</f>
        <v/>
      </c>
      <c r="H566" s="27" t="n">
        <v>39</v>
      </c>
      <c r="I566" s="13">
        <f>E566*H566</f>
        <v/>
      </c>
      <c r="J566" s="13">
        <f>F566*H566</f>
        <v/>
      </c>
      <c r="K566" s="26">
        <f>IF(H566&lt;=0, "Out of Stock", IF(H566&lt;=5, "Low Stock", "In Stock"))</f>
        <v/>
      </c>
      <c r="L566" s="26" t="inlineStr">
        <is>
          <t>2025-07-14 10:22 AM</t>
        </is>
      </c>
    </row>
    <row r="567">
      <c r="A567" s="28" t="inlineStr">
        <is>
          <t>67238891190</t>
        </is>
      </c>
      <c r="B567" s="15" t="inlineStr">
        <is>
          <t>DOVE ORIGINAL</t>
        </is>
      </c>
      <c r="C567" s="15" t="inlineStr">
        <is>
          <t>Personal Care &amp; Hygiene</t>
        </is>
      </c>
      <c r="D567" s="15" t="inlineStr">
        <is>
          <t>Soap</t>
        </is>
      </c>
      <c r="E567" s="18" t="n">
        <v>350</v>
      </c>
      <c r="F567" s="18" t="n">
        <v>400</v>
      </c>
      <c r="G567" s="18">
        <f>F567-E567</f>
        <v/>
      </c>
      <c r="H567" s="29" t="n">
        <v>20</v>
      </c>
      <c r="I567" s="18">
        <f>E567*H567</f>
        <v/>
      </c>
      <c r="J567" s="18">
        <f>F567*H567</f>
        <v/>
      </c>
      <c r="K567" s="28">
        <f>IF(H567&lt;=0, "Out of Stock", IF(H567&lt;=5, "Low Stock", "In Stock"))</f>
        <v/>
      </c>
      <c r="L567" s="28" t="inlineStr">
        <is>
          <t>2025-07-14 10:15 AM</t>
        </is>
      </c>
    </row>
    <row r="568">
      <c r="A568" s="26" t="inlineStr">
        <is>
          <t>7501056349288</t>
        </is>
      </c>
      <c r="B568" s="10" t="inlineStr">
        <is>
          <t>DOVE PINK</t>
        </is>
      </c>
      <c r="C568" s="10" t="inlineStr">
        <is>
          <t>Personal Care &amp; Hygiene</t>
        </is>
      </c>
      <c r="D568" s="10" t="inlineStr">
        <is>
          <t>Soap</t>
        </is>
      </c>
      <c r="E568" s="13" t="n">
        <v>350</v>
      </c>
      <c r="F568" s="13" t="n">
        <v>400</v>
      </c>
      <c r="G568" s="13">
        <f>F568-E568</f>
        <v/>
      </c>
      <c r="H568" s="27" t="n">
        <v>17</v>
      </c>
      <c r="I568" s="13">
        <f>E568*H568</f>
        <v/>
      </c>
      <c r="J568" s="13">
        <f>F568*H568</f>
        <v/>
      </c>
      <c r="K568" s="26">
        <f>IF(H568&lt;=0, "Out of Stock", IF(H568&lt;=5, "Low Stock", "In Stock"))</f>
        <v/>
      </c>
      <c r="L568" s="26" t="inlineStr">
        <is>
          <t>2025-07-14 10:16 AM</t>
        </is>
      </c>
    </row>
    <row r="569">
      <c r="A569" s="28" t="inlineStr">
        <is>
          <t>73591376527174</t>
        </is>
      </c>
      <c r="B569" s="15" t="inlineStr">
        <is>
          <t>LASHKARA SOAP</t>
        </is>
      </c>
      <c r="C569" s="15" t="inlineStr">
        <is>
          <t>Personal Care &amp; Hygiene</t>
        </is>
      </c>
      <c r="D569" s="15" t="inlineStr">
        <is>
          <t>Soap</t>
        </is>
      </c>
      <c r="E569" s="18" t="n">
        <v>40</v>
      </c>
      <c r="F569" s="18" t="n">
        <v>50</v>
      </c>
      <c r="G569" s="18">
        <f>F569-E569</f>
        <v/>
      </c>
      <c r="H569" s="29" t="n">
        <v>9</v>
      </c>
      <c r="I569" s="18">
        <f>E569*H569</f>
        <v/>
      </c>
      <c r="J569" s="18">
        <f>F569*H569</f>
        <v/>
      </c>
      <c r="K569" s="28">
        <f>IF(H569&lt;=0, "Out of Stock", IF(H569&lt;=5, "Low Stock", "In Stock"))</f>
        <v/>
      </c>
      <c r="L569" s="28" t="inlineStr">
        <is>
          <t>2025-07-18 12:55 PM</t>
        </is>
      </c>
    </row>
    <row r="570">
      <c r="A570" s="26" t="inlineStr">
        <is>
          <t>8961014255133</t>
        </is>
      </c>
      <c r="B570" s="10" t="inlineStr">
        <is>
          <t>LUX SOAP</t>
        </is>
      </c>
      <c r="C570" s="10" t="inlineStr">
        <is>
          <t>Personal Care &amp; Hygiene</t>
        </is>
      </c>
      <c r="D570" s="10" t="inlineStr">
        <is>
          <t>Soap</t>
        </is>
      </c>
      <c r="E570" s="13" t="n">
        <v>106</v>
      </c>
      <c r="F570" s="13" t="n">
        <v>150</v>
      </c>
      <c r="G570" s="13">
        <f>F570-E570</f>
        <v/>
      </c>
      <c r="H570" s="27" t="n">
        <v>30</v>
      </c>
      <c r="I570" s="13">
        <f>E570*H570</f>
        <v/>
      </c>
      <c r="J570" s="13">
        <f>F570*H570</f>
        <v/>
      </c>
      <c r="K570" s="26">
        <f>IF(H570&lt;=0, "Out of Stock", IF(H570&lt;=5, "Low Stock", "In Stock"))</f>
        <v/>
      </c>
      <c r="L570" s="26" t="inlineStr">
        <is>
          <t>2025-07-14 10:12 AM</t>
        </is>
      </c>
    </row>
    <row r="571">
      <c r="A571" s="28" t="inlineStr">
        <is>
          <t>8006540021156</t>
        </is>
      </c>
      <c r="B571" s="15" t="inlineStr">
        <is>
          <t>SAFEGUARD SOAP</t>
        </is>
      </c>
      <c r="C571" s="15" t="inlineStr">
        <is>
          <t>Personal Care &amp; Hygiene</t>
        </is>
      </c>
      <c r="D571" s="15" t="inlineStr">
        <is>
          <t>Ssoap</t>
        </is>
      </c>
      <c r="E571" s="18" t="n">
        <v>100</v>
      </c>
      <c r="F571" s="18" t="n">
        <v>120</v>
      </c>
      <c r="G571" s="18">
        <f>F571-E571</f>
        <v/>
      </c>
      <c r="H571" s="29" t="n">
        <v>22</v>
      </c>
      <c r="I571" s="18">
        <f>E571*H571</f>
        <v/>
      </c>
      <c r="J571" s="18">
        <f>F571*H571</f>
        <v/>
      </c>
      <c r="K571" s="28">
        <f>IF(H571&lt;=0, "Out of Stock", IF(H571&lt;=5, "Low Stock", "In Stock"))</f>
        <v/>
      </c>
      <c r="L571" s="28" t="inlineStr">
        <is>
          <t>2025-07-14 10:14 AM</t>
        </is>
      </c>
    </row>
    <row r="572">
      <c r="A572" s="26" t="inlineStr">
        <is>
          <t>6260891401544</t>
        </is>
      </c>
      <c r="B572" s="10" t="inlineStr">
        <is>
          <t>PEARL GARLIC PICKLED</t>
        </is>
      </c>
      <c r="C572" s="10" t="inlineStr">
        <is>
          <t>Pickled</t>
        </is>
      </c>
      <c r="D572" s="10" t="inlineStr">
        <is>
          <t>Pickled</t>
        </is>
      </c>
      <c r="E572" s="13" t="n">
        <v>617</v>
      </c>
      <c r="F572" s="13" t="n">
        <v>750</v>
      </c>
      <c r="G572" s="13">
        <f>F572-E572</f>
        <v/>
      </c>
      <c r="H572" s="27" t="n">
        <v>6</v>
      </c>
      <c r="I572" s="13">
        <f>E572*H572</f>
        <v/>
      </c>
      <c r="J572" s="13">
        <f>F572*H572</f>
        <v/>
      </c>
      <c r="K572" s="26">
        <f>IF(H572&lt;=0, "Out of Stock", IF(H572&lt;=5, "Low Stock", "In Stock"))</f>
        <v/>
      </c>
      <c r="L572" s="26" t="inlineStr">
        <is>
          <t>2025-07-17 08:28 AM</t>
        </is>
      </c>
    </row>
    <row r="573">
      <c r="A573" s="28" t="inlineStr">
        <is>
          <t>6262512700234</t>
        </is>
      </c>
      <c r="B573" s="15" t="inlineStr">
        <is>
          <t>PICKLED CUCUMBER 680G</t>
        </is>
      </c>
      <c r="C573" s="15" t="inlineStr">
        <is>
          <t>Pickled</t>
        </is>
      </c>
      <c r="D573" s="15" t="inlineStr">
        <is>
          <t>Pickled</t>
        </is>
      </c>
      <c r="E573" s="18" t="n">
        <v>500</v>
      </c>
      <c r="F573" s="18" t="n">
        <v>750</v>
      </c>
      <c r="G573" s="18">
        <f>F573-E573</f>
        <v/>
      </c>
      <c r="H573" s="29" t="n">
        <v>9</v>
      </c>
      <c r="I573" s="18">
        <f>E573*H573</f>
        <v/>
      </c>
      <c r="J573" s="18">
        <f>F573*H573</f>
        <v/>
      </c>
      <c r="K573" s="28">
        <f>IF(H573&lt;=0, "Out of Stock", IF(H573&lt;=5, "Low Stock", "In Stock"))</f>
        <v/>
      </c>
      <c r="L573" s="28" t="inlineStr">
        <is>
          <t>2025-07-17 08:01 AM</t>
        </is>
      </c>
    </row>
    <row r="574">
      <c r="A574" s="26" t="inlineStr">
        <is>
          <t>6262961900162</t>
        </is>
      </c>
      <c r="B574" s="10" t="inlineStr">
        <is>
          <t>PICKLED OLIVE</t>
        </is>
      </c>
      <c r="C574" s="10" t="inlineStr">
        <is>
          <t>Pickled</t>
        </is>
      </c>
      <c r="D574" s="10" t="inlineStr">
        <is>
          <t>Pickled</t>
        </is>
      </c>
      <c r="E574" s="13" t="n">
        <v>600</v>
      </c>
      <c r="F574" s="13" t="n">
        <v>800</v>
      </c>
      <c r="G574" s="13">
        <f>F574-E574</f>
        <v/>
      </c>
      <c r="H574" s="27" t="n">
        <v>3</v>
      </c>
      <c r="I574" s="13">
        <f>E574*H574</f>
        <v/>
      </c>
      <c r="J574" s="13">
        <f>F574*H574</f>
        <v/>
      </c>
      <c r="K574" s="26">
        <f>IF(H574&lt;=0, "Out of Stock", IF(H574&lt;=5, "Low Stock", "In Stock"))</f>
        <v/>
      </c>
      <c r="L574" s="26" t="inlineStr">
        <is>
          <t>2025-07-17 08:30 AM</t>
        </is>
      </c>
    </row>
    <row r="575">
      <c r="A575" s="28" t="inlineStr">
        <is>
          <t>6260273701583</t>
        </is>
      </c>
      <c r="B575" s="15" t="inlineStr">
        <is>
          <t>VIGETABLES MIXED PICKLED</t>
        </is>
      </c>
      <c r="C575" s="15" t="inlineStr">
        <is>
          <t>Pickled</t>
        </is>
      </c>
      <c r="D575" s="15" t="inlineStr">
        <is>
          <t>Pickled</t>
        </is>
      </c>
      <c r="E575" s="18" t="n">
        <v>600</v>
      </c>
      <c r="F575" s="18" t="n">
        <v>750</v>
      </c>
      <c r="G575" s="18">
        <f>F575-E575</f>
        <v/>
      </c>
      <c r="H575" s="29" t="n">
        <v>1</v>
      </c>
      <c r="I575" s="18">
        <f>E575*H575</f>
        <v/>
      </c>
      <c r="J575" s="18">
        <f>F575*H575</f>
        <v/>
      </c>
      <c r="K575" s="28">
        <f>IF(H575&lt;=0, "Out of Stock", IF(H575&lt;=5, "Low Stock", "In Stock"))</f>
        <v/>
      </c>
      <c r="L575" s="28" t="inlineStr">
        <is>
          <t>2025-07-17 08:35 AM</t>
        </is>
      </c>
    </row>
    <row r="576">
      <c r="A576" s="26" t="inlineStr">
        <is>
          <t>745125126951</t>
        </is>
      </c>
      <c r="B576" s="10" t="inlineStr">
        <is>
          <t>BLACK COBRA SHOE POLISH</t>
        </is>
      </c>
      <c r="C576" s="10" t="inlineStr">
        <is>
          <t>Polish</t>
        </is>
      </c>
      <c r="D576" s="10" t="inlineStr">
        <is>
          <t>Polish</t>
        </is>
      </c>
      <c r="E576" s="13" t="n">
        <v>140</v>
      </c>
      <c r="F576" s="13" t="n">
        <v>200</v>
      </c>
      <c r="G576" s="13">
        <f>F576-E576</f>
        <v/>
      </c>
      <c r="H576" s="27" t="n">
        <v>12</v>
      </c>
      <c r="I576" s="13">
        <f>E576*H576</f>
        <v/>
      </c>
      <c r="J576" s="13">
        <f>F576*H576</f>
        <v/>
      </c>
      <c r="K576" s="26">
        <f>IF(H576&lt;=0, "Out of Stock", IF(H576&lt;=5, "Low Stock", "In Stock"))</f>
        <v/>
      </c>
      <c r="L576" s="26" t="inlineStr">
        <is>
          <t>2025-07-17 09:13 AM</t>
        </is>
      </c>
    </row>
    <row r="577">
      <c r="A577" s="28" t="inlineStr">
        <is>
          <t>222676274756</t>
        </is>
      </c>
      <c r="B577" s="15" t="inlineStr">
        <is>
          <t>PRICKLY HEAT POWDER</t>
        </is>
      </c>
      <c r="C577" s="15" t="inlineStr">
        <is>
          <t>Powder</t>
        </is>
      </c>
      <c r="D577" s="15" t="inlineStr">
        <is>
          <t>Powder</t>
        </is>
      </c>
      <c r="E577" s="18" t="n">
        <v>230</v>
      </c>
      <c r="F577" s="18" t="n">
        <v>275</v>
      </c>
      <c r="G577" s="18">
        <f>F577-E577</f>
        <v/>
      </c>
      <c r="H577" s="29" t="n">
        <v>2</v>
      </c>
      <c r="I577" s="18">
        <f>E577*H577</f>
        <v/>
      </c>
      <c r="J577" s="18">
        <f>F577*H577</f>
        <v/>
      </c>
      <c r="K577" s="28">
        <f>IF(H577&lt;=0, "Out of Stock", IF(H577&lt;=5, "Low Stock", "In Stock"))</f>
        <v/>
      </c>
      <c r="L577" s="28" t="inlineStr">
        <is>
          <t>2025-07-17 09:19 AM</t>
        </is>
      </c>
    </row>
    <row r="578">
      <c r="A578" s="26" t="inlineStr">
        <is>
          <t>7622201718664</t>
        </is>
      </c>
      <c r="B578" s="10" t="inlineStr">
        <is>
          <t>TANG ORANGE SACHET</t>
        </is>
      </c>
      <c r="C578" s="10" t="inlineStr">
        <is>
          <t>Powder</t>
        </is>
      </c>
      <c r="D578" s="10" t="inlineStr">
        <is>
          <t>Powder</t>
        </is>
      </c>
      <c r="E578" s="13" t="n">
        <v>22.53</v>
      </c>
      <c r="F578" s="13" t="n">
        <v>25</v>
      </c>
      <c r="G578" s="13">
        <f>F578-E578</f>
        <v/>
      </c>
      <c r="H578" s="27" t="n">
        <v>15</v>
      </c>
      <c r="I578" s="13">
        <f>E578*H578</f>
        <v/>
      </c>
      <c r="J578" s="13">
        <f>F578*H578</f>
        <v/>
      </c>
      <c r="K578" s="26">
        <f>IF(H578&lt;=0, "Out of Stock", IF(H578&lt;=5, "Low Stock", "In Stock"))</f>
        <v/>
      </c>
      <c r="L578" s="26" t="inlineStr">
        <is>
          <t>2025-07-15 04:28 PM</t>
        </is>
      </c>
    </row>
    <row r="579">
      <c r="A579" s="28" t="inlineStr">
        <is>
          <t>PROD-20250712-221219-Tang</t>
        </is>
      </c>
      <c r="B579" s="15" t="inlineStr">
        <is>
          <t>Tang Mango</t>
        </is>
      </c>
      <c r="C579" s="15" t="inlineStr">
        <is>
          <t>Powdered</t>
        </is>
      </c>
      <c r="D579" s="15" t="inlineStr">
        <is>
          <t>Powdered</t>
        </is>
      </c>
      <c r="E579" s="18" t="n">
        <v>680</v>
      </c>
      <c r="F579" s="18" t="n">
        <v>750</v>
      </c>
      <c r="G579" s="18">
        <f>F579-E579</f>
        <v/>
      </c>
      <c r="H579" s="29" t="n">
        <v>1</v>
      </c>
      <c r="I579" s="18">
        <f>E579*H579</f>
        <v/>
      </c>
      <c r="J579" s="18">
        <f>F579*H579</f>
        <v/>
      </c>
      <c r="K579" s="28">
        <f>IF(H579&lt;=0, "Out of Stock", IF(H579&lt;=5, "Low Stock", "In Stock"))</f>
        <v/>
      </c>
      <c r="L579" s="28" t="inlineStr">
        <is>
          <t>2025-07-12 05:14 PM</t>
        </is>
      </c>
    </row>
    <row r="580">
      <c r="A580" s="26" t="inlineStr">
        <is>
          <t>6260071900034</t>
        </is>
      </c>
      <c r="B580" s="10" t="inlineStr">
        <is>
          <t>KASHK QROOT KATYANOO</t>
        </is>
      </c>
      <c r="C580" s="10" t="inlineStr">
        <is>
          <t>Qroot</t>
        </is>
      </c>
      <c r="D580" s="10" t="inlineStr">
        <is>
          <t>Qroot</t>
        </is>
      </c>
      <c r="E580" s="13" t="n">
        <v>302.11</v>
      </c>
      <c r="F580" s="13" t="n">
        <v>400</v>
      </c>
      <c r="G580" s="13">
        <f>F580-E580</f>
        <v/>
      </c>
      <c r="H580" s="27" t="n">
        <v>36</v>
      </c>
      <c r="I580" s="13">
        <f>E580*H580</f>
        <v/>
      </c>
      <c r="J580" s="13">
        <f>F580*H580</f>
        <v/>
      </c>
      <c r="K580" s="26">
        <f>IF(H580&lt;=0, "Out of Stock", IF(H580&lt;=5, "Low Stock", "In Stock"))</f>
        <v/>
      </c>
      <c r="L580" s="26" t="inlineStr">
        <is>
          <t>2025-07-17 08:27 AM</t>
        </is>
      </c>
    </row>
    <row r="581">
      <c r="A581" s="28" t="inlineStr">
        <is>
          <t>6261671200029</t>
        </is>
      </c>
      <c r="B581" s="15" t="inlineStr">
        <is>
          <t>KASHK RAOOF QROOT</t>
        </is>
      </c>
      <c r="C581" s="15" t="inlineStr">
        <is>
          <t>Qroot</t>
        </is>
      </c>
      <c r="D581" s="15" t="inlineStr">
        <is>
          <t>Qroot</t>
        </is>
      </c>
      <c r="E581" s="18" t="n">
        <v>400</v>
      </c>
      <c r="F581" s="18" t="n">
        <v>450</v>
      </c>
      <c r="G581" s="18">
        <f>F581-E581</f>
        <v/>
      </c>
      <c r="H581" s="29" t="n">
        <v>0</v>
      </c>
      <c r="I581" s="18">
        <f>E581*H581</f>
        <v/>
      </c>
      <c r="J581" s="18">
        <f>F581*H581</f>
        <v/>
      </c>
      <c r="K581" s="28">
        <f>IF(H581&lt;=0, "Out of Stock", IF(H581&lt;=5, "Low Stock", "In Stock"))</f>
        <v/>
      </c>
      <c r="L581" s="28" t="inlineStr">
        <is>
          <t>2025-07-17 08:19 AM</t>
        </is>
      </c>
    </row>
    <row r="582">
      <c r="A582" s="26" t="inlineStr">
        <is>
          <t>8801038595856</t>
        </is>
      </c>
      <c r="B582" s="10" t="inlineStr">
        <is>
          <t>DORCO RAZOR</t>
        </is>
      </c>
      <c r="C582" s="10" t="inlineStr">
        <is>
          <t>Razor</t>
        </is>
      </c>
      <c r="D582" s="10" t="inlineStr">
        <is>
          <t>Razor</t>
        </is>
      </c>
      <c r="E582" s="13" t="n">
        <v>30</v>
      </c>
      <c r="F582" s="13" t="n">
        <v>50</v>
      </c>
      <c r="G582" s="13">
        <f>F582-E582</f>
        <v/>
      </c>
      <c r="H582" s="27" t="n">
        <v>43</v>
      </c>
      <c r="I582" s="13">
        <f>E582*H582</f>
        <v/>
      </c>
      <c r="J582" s="13">
        <f>F582*H582</f>
        <v/>
      </c>
      <c r="K582" s="26">
        <f>IF(H582&lt;=0, "Out of Stock", IF(H582&lt;=5, "Low Stock", "In Stock"))</f>
        <v/>
      </c>
      <c r="L582" s="26" t="inlineStr">
        <is>
          <t>2025-07-13 06:46 PM</t>
        </is>
      </c>
    </row>
    <row r="583">
      <c r="A583" s="28" t="inlineStr">
        <is>
          <t>3014260265885</t>
        </is>
      </c>
      <c r="B583" s="15" t="inlineStr">
        <is>
          <t>GILLETTE BLUE II</t>
        </is>
      </c>
      <c r="C583" s="15" t="inlineStr">
        <is>
          <t>Razor</t>
        </is>
      </c>
      <c r="D583" s="15" t="inlineStr">
        <is>
          <t>Razor</t>
        </is>
      </c>
      <c r="E583" s="18" t="n">
        <v>125</v>
      </c>
      <c r="F583" s="18" t="n">
        <v>150</v>
      </c>
      <c r="G583" s="18">
        <f>F583-E583</f>
        <v/>
      </c>
      <c r="H583" s="29" t="n">
        <v>5</v>
      </c>
      <c r="I583" s="18">
        <f>E583*H583</f>
        <v/>
      </c>
      <c r="J583" s="18">
        <f>F583*H583</f>
        <v/>
      </c>
      <c r="K583" s="28">
        <f>IF(H583&lt;=0, "Out of Stock", IF(H583&lt;=5, "Low Stock", "In Stock"))</f>
        <v/>
      </c>
      <c r="L583" s="28" t="inlineStr">
        <is>
          <t>2025-07-14 10:06 AM</t>
        </is>
      </c>
    </row>
    <row r="584">
      <c r="A584" s="26" t="inlineStr">
        <is>
          <t>152552155469</t>
        </is>
      </c>
      <c r="B584" s="10" t="inlineStr">
        <is>
          <t>SAFIT SSHAVE BODY</t>
        </is>
      </c>
      <c r="C584" s="10" t="inlineStr">
        <is>
          <t>Razor</t>
        </is>
      </c>
      <c r="D584" s="10" t="inlineStr">
        <is>
          <t>Razor</t>
        </is>
      </c>
      <c r="E584" s="13" t="n">
        <v>83</v>
      </c>
      <c r="F584" s="13" t="n">
        <v>150</v>
      </c>
      <c r="G584" s="13">
        <f>F584-E584</f>
        <v/>
      </c>
      <c r="H584" s="27" t="n">
        <v>29</v>
      </c>
      <c r="I584" s="13">
        <f>E584*H584</f>
        <v/>
      </c>
      <c r="J584" s="13">
        <f>F584*H584</f>
        <v/>
      </c>
      <c r="K584" s="26">
        <f>IF(H584&lt;=0, "Out of Stock", IF(H584&lt;=5, "Low Stock", "In Stock"))</f>
        <v/>
      </c>
      <c r="L584" s="26" t="inlineStr">
        <is>
          <t>2025-07-14 04:03 PM</t>
        </is>
      </c>
    </row>
    <row r="585">
      <c r="A585" s="28" t="inlineStr">
        <is>
          <t>73982206807</t>
        </is>
      </c>
      <c r="B585" s="15" t="inlineStr">
        <is>
          <t>TREET HYGIENE</t>
        </is>
      </c>
      <c r="C585" s="15" t="inlineStr">
        <is>
          <t>Razor</t>
        </is>
      </c>
      <c r="D585" s="15" t="inlineStr">
        <is>
          <t>Razor</t>
        </is>
      </c>
      <c r="E585" s="18" t="n">
        <v>31</v>
      </c>
      <c r="F585" s="18" t="n">
        <v>50</v>
      </c>
      <c r="G585" s="18">
        <f>F585-E585</f>
        <v/>
      </c>
      <c r="H585" s="29" t="n">
        <v>188</v>
      </c>
      <c r="I585" s="18">
        <f>E585*H585</f>
        <v/>
      </c>
      <c r="J585" s="18">
        <f>F585*H585</f>
        <v/>
      </c>
      <c r="K585" s="28">
        <f>IF(H585&lt;=0, "Out of Stock", IF(H585&lt;=5, "Low Stock", "In Stock"))</f>
        <v/>
      </c>
      <c r="L585" s="28" t="inlineStr">
        <is>
          <t>2025-07-13 07:01 PM</t>
        </is>
      </c>
    </row>
    <row r="586">
      <c r="A586" s="26" t="inlineStr">
        <is>
          <t>PROD-20250802-001509-NEW</t>
        </is>
      </c>
      <c r="B586" s="10" t="inlineStr">
        <is>
          <t>JOSHI RICE</t>
        </is>
      </c>
      <c r="C586" s="10" t="inlineStr">
        <is>
          <t>Rice &amp; Staples</t>
        </is>
      </c>
      <c r="D586" s="10" t="inlineStr">
        <is>
          <t>Rice</t>
        </is>
      </c>
      <c r="E586" s="13" t="n">
        <v>140</v>
      </c>
      <c r="F586" s="13" t="n">
        <v>190</v>
      </c>
      <c r="G586" s="13">
        <f>F586-E586</f>
        <v/>
      </c>
      <c r="H586" s="27" t="n">
        <v>25</v>
      </c>
      <c r="I586" s="13">
        <f>E586*H586</f>
        <v/>
      </c>
      <c r="J586" s="13">
        <f>F586*H586</f>
        <v/>
      </c>
      <c r="K586" s="26">
        <f>IF(H586&lt;=0, "Out of Stock", IF(H586&lt;=5, "Low Stock", "In Stock"))</f>
        <v/>
      </c>
      <c r="L586" s="26" t="inlineStr">
        <is>
          <t>2025-08-02 07:15 PM</t>
        </is>
      </c>
    </row>
    <row r="587">
      <c r="A587" s="28" t="inlineStr">
        <is>
          <t>PROD-20250713-144802-PASTE</t>
        </is>
      </c>
      <c r="B587" s="15" t="inlineStr">
        <is>
          <t>PASTE RICE</t>
        </is>
      </c>
      <c r="C587" s="15" t="inlineStr">
        <is>
          <t>Rice &amp; Staples</t>
        </is>
      </c>
      <c r="D587" s="15" t="inlineStr">
        <is>
          <t>Rice</t>
        </is>
      </c>
      <c r="E587" s="18" t="n">
        <v>150</v>
      </c>
      <c r="F587" s="18" t="n">
        <v>180</v>
      </c>
      <c r="G587" s="18">
        <f>F587-E587</f>
        <v/>
      </c>
      <c r="H587" s="29" t="n">
        <v>25</v>
      </c>
      <c r="I587" s="18">
        <f>E587*H587</f>
        <v/>
      </c>
      <c r="J587" s="18">
        <f>F587*H587</f>
        <v/>
      </c>
      <c r="K587" s="28">
        <f>IF(H587&lt;=0, "Out of Stock", IF(H587&lt;=5, "Low Stock", "In Stock"))</f>
        <v/>
      </c>
      <c r="L587" s="28" t="inlineStr">
        <is>
          <t>2025-07-13 09:49 AM</t>
        </is>
      </c>
    </row>
    <row r="588">
      <c r="A588" s="26" t="inlineStr">
        <is>
          <t>PROD-20250713-PEARL RICE</t>
        </is>
      </c>
      <c r="B588" s="10" t="inlineStr">
        <is>
          <t>PEARL GOLD SELLA KAINAT</t>
        </is>
      </c>
      <c r="C588" s="10" t="inlineStr">
        <is>
          <t>Rice &amp; Staples</t>
        </is>
      </c>
      <c r="D588" s="10" t="inlineStr">
        <is>
          <t>Rice</t>
        </is>
      </c>
      <c r="E588" s="13" t="n">
        <v>318</v>
      </c>
      <c r="F588" s="13" t="n">
        <v>380</v>
      </c>
      <c r="G588" s="13">
        <f>F588-E588</f>
        <v/>
      </c>
      <c r="H588" s="27" t="n">
        <v>89.5</v>
      </c>
      <c r="I588" s="13">
        <f>E588*H588</f>
        <v/>
      </c>
      <c r="J588" s="13">
        <f>F588*H588</f>
        <v/>
      </c>
      <c r="K588" s="26">
        <f>IF(H588&lt;=0, "Out of Stock", IF(H588&lt;=5, "Low Stock", "In Stock"))</f>
        <v/>
      </c>
      <c r="L588" s="26" t="inlineStr">
        <is>
          <t>2025-07-13 09:25 AM</t>
        </is>
      </c>
    </row>
    <row r="589">
      <c r="A589" s="28" t="inlineStr">
        <is>
          <t>PROD-20250713-141651-RIZZQ</t>
        </is>
      </c>
      <c r="B589" s="15" t="inlineStr">
        <is>
          <t>RIZZQ RICE</t>
        </is>
      </c>
      <c r="C589" s="15" t="inlineStr">
        <is>
          <t>Rice &amp; Staples</t>
        </is>
      </c>
      <c r="D589" s="15" t="inlineStr">
        <is>
          <t>Rice</t>
        </is>
      </c>
      <c r="E589" s="18" t="n">
        <v>345</v>
      </c>
      <c r="F589" s="18" t="n">
        <v>400</v>
      </c>
      <c r="G589" s="18">
        <f>F589-E589</f>
        <v/>
      </c>
      <c r="H589" s="29" t="n">
        <v>275</v>
      </c>
      <c r="I589" s="18">
        <f>E589*H589</f>
        <v/>
      </c>
      <c r="J589" s="18">
        <f>F589*H589</f>
        <v/>
      </c>
      <c r="K589" s="28">
        <f>IF(H589&lt;=0, "Out of Stock", IF(H589&lt;=5, "Low Stock", "In Stock"))</f>
        <v/>
      </c>
      <c r="L589" s="28" t="inlineStr">
        <is>
          <t>2025-07-13 09:21 AM</t>
        </is>
      </c>
    </row>
    <row r="590">
      <c r="A590" s="26" t="inlineStr">
        <is>
          <t>PROD-20250713-141153-RICE</t>
        </is>
      </c>
      <c r="B590" s="10" t="inlineStr">
        <is>
          <t>RUSTAM RICE</t>
        </is>
      </c>
      <c r="C590" s="10" t="inlineStr">
        <is>
          <t>Rice &amp; Staples</t>
        </is>
      </c>
      <c r="D590" s="10" t="inlineStr">
        <is>
          <t>Rice</t>
        </is>
      </c>
      <c r="E590" s="13" t="n">
        <v>349.5</v>
      </c>
      <c r="F590" s="13" t="n">
        <v>400</v>
      </c>
      <c r="G590" s="13">
        <f>F590-E590</f>
        <v/>
      </c>
      <c r="H590" s="27" t="n">
        <v>274.25</v>
      </c>
      <c r="I590" s="13">
        <f>E590*H590</f>
        <v/>
      </c>
      <c r="J590" s="13">
        <f>F590*H590</f>
        <v/>
      </c>
      <c r="K590" s="26">
        <f>IF(H590&lt;=0, "Out of Stock", IF(H590&lt;=5, "Low Stock", "In Stock"))</f>
        <v/>
      </c>
      <c r="L590" s="26" t="inlineStr">
        <is>
          <t>2025-07-13 09:15 AM</t>
        </is>
      </c>
    </row>
    <row r="591">
      <c r="A591" s="28" t="inlineStr">
        <is>
          <t>788821001368</t>
        </is>
      </c>
      <c r="B591" s="15" t="inlineStr">
        <is>
          <t>SHAN KORMA SACHET</t>
        </is>
      </c>
      <c r="C591" s="15" t="inlineStr">
        <is>
          <t>Sachet</t>
        </is>
      </c>
      <c r="D591" s="15" t="inlineStr">
        <is>
          <t>Sachet</t>
        </is>
      </c>
      <c r="E591" s="18" t="n">
        <v>58.33</v>
      </c>
      <c r="F591" s="18" t="n">
        <v>70</v>
      </c>
      <c r="G591" s="18">
        <f>F591-E591</f>
        <v/>
      </c>
      <c r="H591" s="29" t="n">
        <v>23</v>
      </c>
      <c r="I591" s="18">
        <f>E591*H591</f>
        <v/>
      </c>
      <c r="J591" s="18">
        <f>F591*H591</f>
        <v/>
      </c>
      <c r="K591" s="28">
        <f>IF(H591&lt;=0, "Out of Stock", IF(H591&lt;=5, "Low Stock", "In Stock"))</f>
        <v/>
      </c>
      <c r="L591" s="28" t="inlineStr">
        <is>
          <t>2025-07-19 05:49 PM</t>
        </is>
      </c>
    </row>
    <row r="592">
      <c r="A592" s="26" t="inlineStr">
        <is>
          <t>8965030247950</t>
        </is>
      </c>
      <c r="B592" s="10" t="inlineStr">
        <is>
          <t>ALWAYS PAD</t>
        </is>
      </c>
      <c r="C592" s="10" t="inlineStr">
        <is>
          <t>Safety</t>
        </is>
      </c>
      <c r="D592" s="10" t="inlineStr">
        <is>
          <t>Safety</t>
        </is>
      </c>
      <c r="E592" s="13" t="n">
        <v>100</v>
      </c>
      <c r="F592" s="13" t="n">
        <v>150</v>
      </c>
      <c r="G592" s="13">
        <f>F592-E592</f>
        <v/>
      </c>
      <c r="H592" s="27" t="n">
        <v>2</v>
      </c>
      <c r="I592" s="13">
        <f>E592*H592</f>
        <v/>
      </c>
      <c r="J592" s="13">
        <f>F592*H592</f>
        <v/>
      </c>
      <c r="K592" s="26">
        <f>IF(H592&lt;=0, "Out of Stock", IF(H592&lt;=5, "Low Stock", "In Stock"))</f>
        <v/>
      </c>
      <c r="L592" s="26" t="inlineStr">
        <is>
          <t>2025-07-13 03:30 PM</t>
        </is>
      </c>
    </row>
    <row r="593">
      <c r="A593" s="28" t="inlineStr">
        <is>
          <t>3113911416116</t>
        </is>
      </c>
      <c r="B593" s="15" t="inlineStr">
        <is>
          <t>RAHAT PADS</t>
        </is>
      </c>
      <c r="C593" s="15" t="inlineStr">
        <is>
          <t>Safety</t>
        </is>
      </c>
      <c r="D593" s="15" t="inlineStr">
        <is>
          <t>Safety</t>
        </is>
      </c>
      <c r="E593" s="18" t="n">
        <v>131.33</v>
      </c>
      <c r="F593" s="18" t="n">
        <v>220</v>
      </c>
      <c r="G593" s="18">
        <f>F593-E593</f>
        <v/>
      </c>
      <c r="H593" s="29" t="n">
        <v>26</v>
      </c>
      <c r="I593" s="18">
        <f>E593*H593</f>
        <v/>
      </c>
      <c r="J593" s="18">
        <f>F593*H593</f>
        <v/>
      </c>
      <c r="K593" s="28">
        <f>IF(H593&lt;=0, "Out of Stock", IF(H593&lt;=5, "Low Stock", "In Stock"))</f>
        <v/>
      </c>
      <c r="L593" s="28" t="inlineStr">
        <is>
          <t>2025-07-13 03:28 PM</t>
        </is>
      </c>
    </row>
    <row r="594">
      <c r="A594" s="26" t="inlineStr">
        <is>
          <t>7793078600533</t>
        </is>
      </c>
      <c r="B594" s="10" t="inlineStr">
        <is>
          <t>IODIZED MINERAL SALT</t>
        </is>
      </c>
      <c r="C594" s="10" t="inlineStr">
        <is>
          <t>Salt</t>
        </is>
      </c>
      <c r="D594" s="10" t="inlineStr">
        <is>
          <t>Salt</t>
        </is>
      </c>
      <c r="E594" s="13" t="n">
        <v>30</v>
      </c>
      <c r="F594" s="13" t="n">
        <v>50</v>
      </c>
      <c r="G594" s="13">
        <f>F594-E594</f>
        <v/>
      </c>
      <c r="H594" s="27" t="n">
        <v>3</v>
      </c>
      <c r="I594" s="13">
        <f>E594*H594</f>
        <v/>
      </c>
      <c r="J594" s="13">
        <f>F594*H594</f>
        <v/>
      </c>
      <c r="K594" s="26">
        <f>IF(H594&lt;=0, "Out of Stock", IF(H594&lt;=5, "Low Stock", "In Stock"))</f>
        <v/>
      </c>
      <c r="L594" s="26" t="inlineStr">
        <is>
          <t>2025-07-17 10:02 AM</t>
        </is>
      </c>
    </row>
    <row r="595">
      <c r="A595" s="28" t="inlineStr">
        <is>
          <t>9203336007007</t>
        </is>
      </c>
      <c r="B595" s="15" t="inlineStr">
        <is>
          <t>LASANI SALT</t>
        </is>
      </c>
      <c r="C595" s="15" t="inlineStr">
        <is>
          <t>Salt</t>
        </is>
      </c>
      <c r="D595" s="15" t="inlineStr">
        <is>
          <t>Salt</t>
        </is>
      </c>
      <c r="E595" s="18" t="n">
        <v>30</v>
      </c>
      <c r="F595" s="18" t="n">
        <v>50</v>
      </c>
      <c r="G595" s="18">
        <f>F595-E595</f>
        <v/>
      </c>
      <c r="H595" s="29" t="n">
        <v>10</v>
      </c>
      <c r="I595" s="18">
        <f>E595*H595</f>
        <v/>
      </c>
      <c r="J595" s="18">
        <f>F595*H595</f>
        <v/>
      </c>
      <c r="K595" s="28">
        <f>IF(H595&lt;=0, "Out of Stock", IF(H595&lt;=5, "Low Stock", "In Stock"))</f>
        <v/>
      </c>
      <c r="L595" s="28" t="inlineStr">
        <is>
          <t>2025-07-17 10:03 AM</t>
        </is>
      </c>
    </row>
    <row r="596">
      <c r="A596" s="26" t="inlineStr">
        <is>
          <t>658452254689</t>
        </is>
      </c>
      <c r="B596" s="10" t="inlineStr">
        <is>
          <t>SALTY PIECE</t>
        </is>
      </c>
      <c r="C596" s="10" t="inlineStr">
        <is>
          <t>Salty</t>
        </is>
      </c>
      <c r="D596" s="10" t="inlineStr">
        <is>
          <t>Salty</t>
        </is>
      </c>
      <c r="E596" s="13" t="n">
        <v>40</v>
      </c>
      <c r="F596" s="13" t="n">
        <v>50</v>
      </c>
      <c r="G596" s="13">
        <f>F596-E596</f>
        <v/>
      </c>
      <c r="H596" s="27" t="n">
        <v>1</v>
      </c>
      <c r="I596" s="13">
        <f>E596*H596</f>
        <v/>
      </c>
      <c r="J596" s="13">
        <f>F596*H596</f>
        <v/>
      </c>
      <c r="K596" s="26">
        <f>IF(H596&lt;=0, "Out of Stock", IF(H596&lt;=5, "Low Stock", "In Stock"))</f>
        <v/>
      </c>
      <c r="L596" s="26" t="inlineStr">
        <is>
          <t>2025-07-24 08:10 PM</t>
        </is>
      </c>
    </row>
    <row r="597">
      <c r="A597" s="28" t="inlineStr">
        <is>
          <t>PROD-20250717-150749-NEW</t>
        </is>
      </c>
      <c r="B597" s="15" t="inlineStr">
        <is>
          <t>SAMAD BOND</t>
        </is>
      </c>
      <c r="C597" s="15" t="inlineStr">
        <is>
          <t>Samad Bond</t>
        </is>
      </c>
      <c r="D597" s="15" t="inlineStr">
        <is>
          <t>Samad Bond</t>
        </is>
      </c>
      <c r="E597" s="18" t="n">
        <v>77</v>
      </c>
      <c r="F597" s="18" t="n">
        <v>150</v>
      </c>
      <c r="G597" s="18">
        <f>F597-E597</f>
        <v/>
      </c>
      <c r="H597" s="29" t="n">
        <v>23</v>
      </c>
      <c r="I597" s="18">
        <f>E597*H597</f>
        <v/>
      </c>
      <c r="J597" s="18">
        <f>F597*H597</f>
        <v/>
      </c>
      <c r="K597" s="28">
        <f>IF(H597&lt;=0, "Out of Stock", IF(H597&lt;=5, "Low Stock", "In Stock"))</f>
        <v/>
      </c>
      <c r="L597" s="28" t="inlineStr">
        <is>
          <t>2025-07-17 10:08 AM</t>
        </is>
      </c>
    </row>
    <row r="598">
      <c r="A598" s="26" t="inlineStr">
        <is>
          <t>8964001165071</t>
        </is>
      </c>
      <c r="B598" s="10" t="inlineStr">
        <is>
          <t>MAMA,S CHILLI GARLIC SAUCE</t>
        </is>
      </c>
      <c r="C598" s="10" t="inlineStr">
        <is>
          <t>Sauce</t>
        </is>
      </c>
      <c r="D598" s="10" t="inlineStr">
        <is>
          <t>Sauce</t>
        </is>
      </c>
      <c r="E598" s="13" t="n">
        <v>300</v>
      </c>
      <c r="F598" s="13" t="n">
        <v>380</v>
      </c>
      <c r="G598" s="13">
        <f>F598-E598</f>
        <v/>
      </c>
      <c r="H598" s="27" t="n">
        <v>3</v>
      </c>
      <c r="I598" s="13">
        <f>E598*H598</f>
        <v/>
      </c>
      <c r="J598" s="13">
        <f>F598*H598</f>
        <v/>
      </c>
      <c r="K598" s="26">
        <f>IF(H598&lt;=0, "Out of Stock", IF(H598&lt;=5, "Low Stock", "In Stock"))</f>
        <v/>
      </c>
      <c r="L598" s="26" t="inlineStr">
        <is>
          <t>2025-07-16 07:23 PM</t>
        </is>
      </c>
    </row>
    <row r="599">
      <c r="A599" s="28" t="inlineStr">
        <is>
          <t>742761777455</t>
        </is>
      </c>
      <c r="B599" s="15" t="inlineStr">
        <is>
          <t>SHAPNER PENCIL TRICA</t>
        </is>
      </c>
      <c r="C599" s="15" t="inlineStr">
        <is>
          <t>Shapner</t>
        </is>
      </c>
      <c r="D599" s="15" t="inlineStr">
        <is>
          <t>Shapner</t>
        </is>
      </c>
      <c r="E599" s="18" t="n">
        <v>5</v>
      </c>
      <c r="F599" s="18" t="n">
        <v>10</v>
      </c>
      <c r="G599" s="18">
        <f>F599-E599</f>
        <v/>
      </c>
      <c r="H599" s="29" t="n">
        <v>60</v>
      </c>
      <c r="I599" s="18">
        <f>E599*H599</f>
        <v/>
      </c>
      <c r="J599" s="18">
        <f>F599*H599</f>
        <v/>
      </c>
      <c r="K599" s="28">
        <f>IF(H599&lt;=0, "Out of Stock", IF(H599&lt;=5, "Low Stock", "In Stock"))</f>
        <v/>
      </c>
      <c r="L599" s="28" t="inlineStr">
        <is>
          <t>2025-07-13 06:02 PM</t>
        </is>
      </c>
    </row>
    <row r="600">
      <c r="A600" s="26" t="inlineStr">
        <is>
          <t>855434000016</t>
        </is>
      </c>
      <c r="B600" s="10" t="inlineStr">
        <is>
          <t>JAM-E-SHIRIN SHARBAT 800 ML</t>
        </is>
      </c>
      <c r="C600" s="10" t="inlineStr">
        <is>
          <t>Sharbat</t>
        </is>
      </c>
      <c r="D600" s="10" t="inlineStr">
        <is>
          <t>Sharbat</t>
        </is>
      </c>
      <c r="E600" s="13" t="n">
        <v>409</v>
      </c>
      <c r="F600" s="13" t="n">
        <v>500</v>
      </c>
      <c r="G600" s="13">
        <f>F600-E600</f>
        <v/>
      </c>
      <c r="H600" s="27" t="n">
        <v>7</v>
      </c>
      <c r="I600" s="13">
        <f>E600*H600</f>
        <v/>
      </c>
      <c r="J600" s="13">
        <f>F600*H600</f>
        <v/>
      </c>
      <c r="K600" s="26">
        <f>IF(H600&lt;=0, "Out of Stock", IF(H600&lt;=5, "Low Stock", "In Stock"))</f>
        <v/>
      </c>
      <c r="L600" s="26" t="inlineStr">
        <is>
          <t>2025-07-17 04:20 PM</t>
        </is>
      </c>
    </row>
    <row r="601">
      <c r="A601" s="28" t="inlineStr">
        <is>
          <t>PROD-20250717-140636-NEW</t>
        </is>
      </c>
      <c r="B601" s="15" t="inlineStr">
        <is>
          <t>BLACK COBRA SHOE SHINE BLACK</t>
        </is>
      </c>
      <c r="C601" s="15" t="inlineStr">
        <is>
          <t>Shoe Shine</t>
        </is>
      </c>
      <c r="D601" s="15" t="inlineStr">
        <is>
          <t>Shoe Shine</t>
        </is>
      </c>
      <c r="E601" s="18" t="n">
        <v>200</v>
      </c>
      <c r="F601" s="18" t="n">
        <v>250</v>
      </c>
      <c r="G601" s="18">
        <f>F601-E601</f>
        <v/>
      </c>
      <c r="H601" s="29" t="n">
        <v>6</v>
      </c>
      <c r="I601" s="18">
        <f>E601*H601</f>
        <v/>
      </c>
      <c r="J601" s="18">
        <f>F601*H601</f>
        <v/>
      </c>
      <c r="K601" s="28">
        <f>IF(H601&lt;=0, "Out of Stock", IF(H601&lt;=5, "Low Stock", "In Stock"))</f>
        <v/>
      </c>
      <c r="L601" s="28" t="inlineStr">
        <is>
          <t>2025-07-17 09:07 AM</t>
        </is>
      </c>
    </row>
    <row r="602">
      <c r="A602" s="26" t="inlineStr">
        <is>
          <t>PROD-20250717-140738-NEW</t>
        </is>
      </c>
      <c r="B602" s="10" t="inlineStr">
        <is>
          <t>BLACK COBRA SHOE SHINE BROWN</t>
        </is>
      </c>
      <c r="C602" s="10" t="inlineStr">
        <is>
          <t>Shoe Shine</t>
        </is>
      </c>
      <c r="D602" s="10" t="inlineStr">
        <is>
          <t>Shoe Shine</t>
        </is>
      </c>
      <c r="E602" s="13" t="n">
        <v>200</v>
      </c>
      <c r="F602" s="13" t="n">
        <v>250</v>
      </c>
      <c r="G602" s="13">
        <f>F602-E602</f>
        <v/>
      </c>
      <c r="H602" s="27" t="n">
        <v>6</v>
      </c>
      <c r="I602" s="13">
        <f>E602*H602</f>
        <v/>
      </c>
      <c r="J602" s="13">
        <f>F602*H602</f>
        <v/>
      </c>
      <c r="K602" s="26">
        <f>IF(H602&lt;=0, "Out of Stock", IF(H602&lt;=5, "Low Stock", "In Stock"))</f>
        <v/>
      </c>
      <c r="L602" s="26" t="inlineStr">
        <is>
          <t>2025-07-17 09:08 AM</t>
        </is>
      </c>
    </row>
    <row r="603">
      <c r="A603" s="28" t="inlineStr">
        <is>
          <t>8964002347377</t>
        </is>
      </c>
      <c r="B603" s="15" t="inlineStr">
        <is>
          <t>KURKURE CHUTNEY CHASKA 56G</t>
        </is>
      </c>
      <c r="C603" s="15" t="inlineStr">
        <is>
          <t>Snacks &amp; Nimko</t>
        </is>
      </c>
      <c r="D603" s="15" t="inlineStr">
        <is>
          <t>Kurkur</t>
        </is>
      </c>
      <c r="E603" s="18" t="n">
        <v>53</v>
      </c>
      <c r="F603" s="18" t="n">
        <v>60</v>
      </c>
      <c r="G603" s="18">
        <f>F603-E603</f>
        <v/>
      </c>
      <c r="H603" s="29" t="n">
        <v>0</v>
      </c>
      <c r="I603" s="18">
        <f>E603*H603</f>
        <v/>
      </c>
      <c r="J603" s="18">
        <f>F603*H603</f>
        <v/>
      </c>
      <c r="K603" s="28">
        <f>IF(H603&lt;=0, "Out of Stock", IF(H603&lt;=5, "Low Stock", "In Stock"))</f>
        <v/>
      </c>
      <c r="L603" s="28" t="inlineStr">
        <is>
          <t>2025-07-16 03:06 PM</t>
        </is>
      </c>
    </row>
    <row r="604">
      <c r="A604" s="26" t="inlineStr">
        <is>
          <t>8964002347353</t>
        </is>
      </c>
      <c r="B604" s="10" t="inlineStr">
        <is>
          <t>KURKURE 34G RSS.40</t>
        </is>
      </c>
      <c r="C604" s="10" t="inlineStr">
        <is>
          <t>Snacks &amp; Nimko</t>
        </is>
      </c>
      <c r="D604" s="10" t="inlineStr">
        <is>
          <t>Kurkure</t>
        </is>
      </c>
      <c r="E604" s="13" t="n">
        <v>36</v>
      </c>
      <c r="F604" s="13" t="n">
        <v>40</v>
      </c>
      <c r="G604" s="13">
        <f>F604-E604</f>
        <v/>
      </c>
      <c r="H604" s="27" t="n">
        <v>3</v>
      </c>
      <c r="I604" s="13">
        <f>E604*H604</f>
        <v/>
      </c>
      <c r="J604" s="13">
        <f>F604*H604</f>
        <v/>
      </c>
      <c r="K604" s="26">
        <f>IF(H604&lt;=0, "Out of Stock", IF(H604&lt;=5, "Low Stock", "In Stock"))</f>
        <v/>
      </c>
      <c r="L604" s="26" t="inlineStr">
        <is>
          <t>2025-07-18 09:14 AM</t>
        </is>
      </c>
    </row>
    <row r="605">
      <c r="A605" s="28" t="inlineStr">
        <is>
          <t>8964002346509</t>
        </is>
      </c>
      <c r="B605" s="15" t="inlineStr">
        <is>
          <t>KURKURE 56 G</t>
        </is>
      </c>
      <c r="C605" s="15" t="inlineStr">
        <is>
          <t>Snacks &amp; Nimko</t>
        </is>
      </c>
      <c r="D605" s="15" t="inlineStr">
        <is>
          <t>Kurkure</t>
        </is>
      </c>
      <c r="E605" s="18" t="n">
        <v>53</v>
      </c>
      <c r="F605" s="18" t="n">
        <v>60</v>
      </c>
      <c r="G605" s="18">
        <f>F605-E605</f>
        <v/>
      </c>
      <c r="H605" s="29" t="n">
        <v>9</v>
      </c>
      <c r="I605" s="18">
        <f>E605*H605</f>
        <v/>
      </c>
      <c r="J605" s="18">
        <f>F605*H605</f>
        <v/>
      </c>
      <c r="K605" s="28">
        <f>IF(H605&lt;=0, "Out of Stock", IF(H605&lt;=5, "Low Stock", "In Stock"))</f>
        <v/>
      </c>
      <c r="L605" s="28" t="inlineStr">
        <is>
          <t>2025-07-18 09:00 AM</t>
        </is>
      </c>
    </row>
    <row r="606">
      <c r="A606" s="26" t="inlineStr">
        <is>
          <t>8964002345762</t>
        </is>
      </c>
      <c r="B606" s="10" t="inlineStr">
        <is>
          <t>KURKURE CHATPATI DAHI</t>
        </is>
      </c>
      <c r="C606" s="10" t="inlineStr">
        <is>
          <t>Snacks &amp; Nimko</t>
        </is>
      </c>
      <c r="D606" s="10" t="inlineStr">
        <is>
          <t>Kurkure</t>
        </is>
      </c>
      <c r="E606" s="13" t="n">
        <v>44</v>
      </c>
      <c r="F606" s="13" t="n">
        <v>50</v>
      </c>
      <c r="G606" s="13">
        <f>F606-E606</f>
        <v/>
      </c>
      <c r="H606" s="27" t="n">
        <v>17</v>
      </c>
      <c r="I606" s="13">
        <f>E606*H606</f>
        <v/>
      </c>
      <c r="J606" s="13">
        <f>F606*H606</f>
        <v/>
      </c>
      <c r="K606" s="26">
        <f>IF(H606&lt;=0, "Out of Stock", IF(H606&lt;=5, "Low Stock", "In Stock"))</f>
        <v/>
      </c>
      <c r="L606" s="26" t="inlineStr">
        <is>
          <t>2025-07-31 10:12 AM</t>
        </is>
      </c>
    </row>
    <row r="607">
      <c r="A607" s="28" t="inlineStr">
        <is>
          <t>8964002347360</t>
        </is>
      </c>
      <c r="B607" s="15" t="inlineStr">
        <is>
          <t>KURKURE RED CHILLI 56G</t>
        </is>
      </c>
      <c r="C607" s="15" t="inlineStr">
        <is>
          <t>Snacks &amp; Nimko</t>
        </is>
      </c>
      <c r="D607" s="15" t="inlineStr">
        <is>
          <t>Kurkure</t>
        </is>
      </c>
      <c r="E607" s="18" t="n">
        <v>53</v>
      </c>
      <c r="F607" s="18" t="n">
        <v>60</v>
      </c>
      <c r="G607" s="18">
        <f>F607-E607</f>
        <v/>
      </c>
      <c r="H607" s="29" t="n">
        <v>0</v>
      </c>
      <c r="I607" s="18">
        <f>E607*H607</f>
        <v/>
      </c>
      <c r="J607" s="18">
        <f>F607*H607</f>
        <v/>
      </c>
      <c r="K607" s="28">
        <f>IF(H607&lt;=0, "Out of Stock", IF(H607&lt;=5, "Low Stock", "In Stock"))</f>
        <v/>
      </c>
      <c r="L607" s="28" t="inlineStr">
        <is>
          <t>2025-07-16 03:00 PM</t>
        </is>
      </c>
    </row>
    <row r="608">
      <c r="A608" s="26" t="inlineStr">
        <is>
          <t>8964002347278</t>
        </is>
      </c>
      <c r="B608" s="10" t="inlineStr">
        <is>
          <t>KURKURE TOOFANI MIRCH</t>
        </is>
      </c>
      <c r="C608" s="10" t="inlineStr">
        <is>
          <t>Snacks &amp; Nimko</t>
        </is>
      </c>
      <c r="D608" s="10" t="inlineStr">
        <is>
          <t>Kurkure</t>
        </is>
      </c>
      <c r="E608" s="13" t="n">
        <v>36</v>
      </c>
      <c r="F608" s="13" t="n">
        <v>40</v>
      </c>
      <c r="G608" s="13">
        <f>F608-E608</f>
        <v/>
      </c>
      <c r="H608" s="27" t="n">
        <v>0</v>
      </c>
      <c r="I608" s="13">
        <f>E608*H608</f>
        <v/>
      </c>
      <c r="J608" s="13">
        <f>F608*H608</f>
        <v/>
      </c>
      <c r="K608" s="26">
        <f>IF(H608&lt;=0, "Out of Stock", IF(H608&lt;=5, "Low Stock", "In Stock"))</f>
        <v/>
      </c>
      <c r="L608" s="26" t="inlineStr">
        <is>
          <t>2025-07-18 09:01 AM</t>
        </is>
      </c>
    </row>
    <row r="609">
      <c r="A609" s="28" t="inlineStr">
        <is>
          <t>8964000090428</t>
        </is>
      </c>
      <c r="B609" s="15" t="inlineStr">
        <is>
          <t>LAY,S MASALA 82.8G</t>
        </is>
      </c>
      <c r="C609" s="15" t="inlineStr">
        <is>
          <t>Snacks &amp; Nimko</t>
        </is>
      </c>
      <c r="D609" s="15" t="inlineStr">
        <is>
          <t>Lay,S</t>
        </is>
      </c>
      <c r="E609" s="18" t="n">
        <v>87</v>
      </c>
      <c r="F609" s="18" t="n">
        <v>100</v>
      </c>
      <c r="G609" s="18">
        <f>F609-E609</f>
        <v/>
      </c>
      <c r="H609" s="29" t="n">
        <v>3</v>
      </c>
      <c r="I609" s="18">
        <f>E609*H609</f>
        <v/>
      </c>
      <c r="J609" s="18">
        <f>F609*H609</f>
        <v/>
      </c>
      <c r="K609" s="28">
        <f>IF(H609&lt;=0, "Out of Stock", IF(H609&lt;=5, "Low Stock", "In Stock"))</f>
        <v/>
      </c>
      <c r="L609" s="28" t="inlineStr">
        <is>
          <t>2025-07-31 10:16 AM</t>
        </is>
      </c>
    </row>
    <row r="610">
      <c r="A610" s="26" t="inlineStr">
        <is>
          <t>8964002345618</t>
        </is>
      </c>
      <c r="B610" s="10" t="inlineStr">
        <is>
          <t>LAY,S PAPRIKA 34.4G</t>
        </is>
      </c>
      <c r="C610" s="10" t="inlineStr">
        <is>
          <t>Snacks &amp; Nimko</t>
        </is>
      </c>
      <c r="D610" s="10" t="inlineStr">
        <is>
          <t>Lay,S</t>
        </is>
      </c>
      <c r="E610" s="13" t="n">
        <v>43</v>
      </c>
      <c r="F610" s="13" t="n">
        <v>50</v>
      </c>
      <c r="G610" s="13">
        <f>F610-E610</f>
        <v/>
      </c>
      <c r="H610" s="27" t="n">
        <v>3</v>
      </c>
      <c r="I610" s="13">
        <f>E610*H610</f>
        <v/>
      </c>
      <c r="J610" s="13">
        <f>F610*H610</f>
        <v/>
      </c>
      <c r="K610" s="26">
        <f>IF(H610&lt;=0, "Out of Stock", IF(H610&lt;=5, "Low Stock", "In Stock"))</f>
        <v/>
      </c>
      <c r="L610" s="26" t="inlineStr">
        <is>
          <t>2025-07-18 02:03 PM</t>
        </is>
      </c>
    </row>
    <row r="611">
      <c r="A611" s="28" t="inlineStr">
        <is>
          <t>8964002346660</t>
        </is>
      </c>
      <c r="B611" s="15" t="inlineStr">
        <is>
          <t>LAY,S PAPRIKA 82.8G</t>
        </is>
      </c>
      <c r="C611" s="15" t="inlineStr">
        <is>
          <t>Snacks &amp; Nimko</t>
        </is>
      </c>
      <c r="D611" s="15" t="inlineStr">
        <is>
          <t>Lay,S</t>
        </is>
      </c>
      <c r="E611" s="18" t="n">
        <v>87</v>
      </c>
      <c r="F611" s="18" t="n">
        <v>100</v>
      </c>
      <c r="G611" s="18">
        <f>F611-E611</f>
        <v/>
      </c>
      <c r="H611" s="29" t="n">
        <v>9</v>
      </c>
      <c r="I611" s="18">
        <f>E611*H611</f>
        <v/>
      </c>
      <c r="J611" s="18">
        <f>F611*H611</f>
        <v/>
      </c>
      <c r="K611" s="28">
        <f>IF(H611&lt;=0, "Out of Stock", IF(H611&lt;=5, "Low Stock", "In Stock"))</f>
        <v/>
      </c>
      <c r="L611" s="28" t="inlineStr">
        <is>
          <t>2025-07-31 10:17 AM</t>
        </is>
      </c>
    </row>
    <row r="612">
      <c r="A612" s="26" t="inlineStr">
        <is>
          <t>8964002346356</t>
        </is>
      </c>
      <c r="B612" s="10" t="inlineStr">
        <is>
          <t>LAY,S SALT 120 G</t>
        </is>
      </c>
      <c r="C612" s="10" t="inlineStr">
        <is>
          <t>Snacks &amp; Nimko</t>
        </is>
      </c>
      <c r="D612" s="10" t="inlineStr">
        <is>
          <t>Lay,S</t>
        </is>
      </c>
      <c r="E612" s="13" t="n">
        <v>130</v>
      </c>
      <c r="F612" s="13" t="n">
        <v>150</v>
      </c>
      <c r="G612" s="13">
        <f>F612-E612</f>
        <v/>
      </c>
      <c r="H612" s="27" t="n">
        <v>10</v>
      </c>
      <c r="I612" s="13">
        <f>E612*H612</f>
        <v/>
      </c>
      <c r="J612" s="13">
        <f>F612*H612</f>
        <v/>
      </c>
      <c r="K612" s="26">
        <f>IF(H612&lt;=0, "Out of Stock", IF(H612&lt;=5, "Low Stock", "In Stock"))</f>
        <v/>
      </c>
      <c r="L612" s="26" t="inlineStr">
        <is>
          <t>2025-07-31 10:03 AM</t>
        </is>
      </c>
    </row>
    <row r="613">
      <c r="A613" s="28" t="inlineStr">
        <is>
          <t>8964002346790</t>
        </is>
      </c>
      <c r="B613" s="15" t="inlineStr">
        <is>
          <t>LAY,S WAVY FLAMING HOT 45G</t>
        </is>
      </c>
      <c r="C613" s="15" t="inlineStr">
        <is>
          <t>Snacks &amp; Nimko</t>
        </is>
      </c>
      <c r="D613" s="15" t="inlineStr">
        <is>
          <t>Lay,S</t>
        </is>
      </c>
      <c r="E613" s="18" t="n">
        <v>61</v>
      </c>
      <c r="F613" s="18" t="n">
        <v>70</v>
      </c>
      <c r="G613" s="18">
        <f>F613-E613</f>
        <v/>
      </c>
      <c r="H613" s="29" t="n">
        <v>10</v>
      </c>
      <c r="I613" s="18">
        <f>E613*H613</f>
        <v/>
      </c>
      <c r="J613" s="18">
        <f>F613*H613</f>
        <v/>
      </c>
      <c r="K613" s="28">
        <f>IF(H613&lt;=0, "Out of Stock", IF(H613&lt;=5, "Low Stock", "In Stock"))</f>
        <v/>
      </c>
      <c r="L613" s="28" t="inlineStr">
        <is>
          <t>2025-07-31 10:09 AM</t>
        </is>
      </c>
    </row>
    <row r="614">
      <c r="A614" s="26" t="inlineStr">
        <is>
          <t>8964002347414</t>
        </is>
      </c>
      <c r="B614" s="10" t="inlineStr">
        <is>
          <t>CHEETOS FLAMIN HOT 36G</t>
        </is>
      </c>
      <c r="C614" s="10" t="inlineStr">
        <is>
          <t>Snacks &amp; Nimko</t>
        </is>
      </c>
      <c r="D614" s="10" t="inlineStr">
        <is>
          <t>Lays</t>
        </is>
      </c>
      <c r="E614" s="13" t="n">
        <v>44</v>
      </c>
      <c r="F614" s="13" t="n">
        <v>50</v>
      </c>
      <c r="G614" s="13">
        <f>F614-E614</f>
        <v/>
      </c>
      <c r="H614" s="27" t="n">
        <v>2</v>
      </c>
      <c r="I614" s="13">
        <f>E614*H614</f>
        <v/>
      </c>
      <c r="J614" s="13">
        <f>F614*H614</f>
        <v/>
      </c>
      <c r="K614" s="26">
        <f>IF(H614&lt;=0, "Out of Stock", IF(H614&lt;=5, "Low Stock", "In Stock"))</f>
        <v/>
      </c>
      <c r="L614" s="26" t="inlineStr">
        <is>
          <t>2025-07-16 03:34 PM</t>
        </is>
      </c>
    </row>
    <row r="615">
      <c r="A615" s="28" t="inlineStr">
        <is>
          <t>8964002347506</t>
        </is>
      </c>
      <c r="B615" s="15" t="inlineStr">
        <is>
          <t>CHEETOS FLAMIN HOT 82G</t>
        </is>
      </c>
      <c r="C615" s="15" t="inlineStr">
        <is>
          <t>Snacks &amp; Nimko</t>
        </is>
      </c>
      <c r="D615" s="15" t="inlineStr">
        <is>
          <t>Lays</t>
        </is>
      </c>
      <c r="E615" s="18" t="n">
        <v>88</v>
      </c>
      <c r="F615" s="18" t="n">
        <v>100</v>
      </c>
      <c r="G615" s="18">
        <f>F615-E615</f>
        <v/>
      </c>
      <c r="H615" s="29" t="n">
        <v>7</v>
      </c>
      <c r="I615" s="18">
        <f>E615*H615</f>
        <v/>
      </c>
      <c r="J615" s="18">
        <f>F615*H615</f>
        <v/>
      </c>
      <c r="K615" s="28">
        <f>IF(H615&lt;=0, "Out of Stock", IF(H615&lt;=5, "Low Stock", "In Stock"))</f>
        <v/>
      </c>
      <c r="L615" s="28" t="inlineStr">
        <is>
          <t>2025-07-16 05:47 PM</t>
        </is>
      </c>
    </row>
    <row r="616">
      <c r="A616" s="26" t="inlineStr">
        <is>
          <t>8964002345601</t>
        </is>
      </c>
      <c r="B616" s="10" t="inlineStr">
        <is>
          <t>LAY,S CHEESE 30G</t>
        </is>
      </c>
      <c r="C616" s="10" t="inlineStr">
        <is>
          <t>Snacks &amp; Nimko</t>
        </is>
      </c>
      <c r="D616" s="10" t="inlineStr">
        <is>
          <t>Lays</t>
        </is>
      </c>
      <c r="E616" s="13" t="n">
        <v>43.33</v>
      </c>
      <c r="F616" s="13" t="n">
        <v>50</v>
      </c>
      <c r="G616" s="13">
        <f>F616-E616</f>
        <v/>
      </c>
      <c r="H616" s="27" t="n">
        <v>24</v>
      </c>
      <c r="I616" s="13">
        <f>E616*H616</f>
        <v/>
      </c>
      <c r="J616" s="13">
        <f>F616*H616</f>
        <v/>
      </c>
      <c r="K616" s="26">
        <f>IF(H616&lt;=0, "Out of Stock", IF(H616&lt;=5, "Low Stock", "In Stock"))</f>
        <v/>
      </c>
      <c r="L616" s="26" t="inlineStr">
        <is>
          <t>2025-07-16 02:53 PM</t>
        </is>
      </c>
    </row>
    <row r="617">
      <c r="A617" s="28" t="inlineStr">
        <is>
          <t>8964002345588</t>
        </is>
      </c>
      <c r="B617" s="15" t="inlineStr">
        <is>
          <t>LAY,S CLASSIC 34.4G</t>
        </is>
      </c>
      <c r="C617" s="15" t="inlineStr">
        <is>
          <t>Snacks &amp; Nimko</t>
        </is>
      </c>
      <c r="D617" s="15" t="inlineStr">
        <is>
          <t>Lays</t>
        </is>
      </c>
      <c r="E617" s="18" t="n">
        <v>43.33</v>
      </c>
      <c r="F617" s="18" t="n">
        <v>50</v>
      </c>
      <c r="G617" s="18">
        <f>F617-E617</f>
        <v/>
      </c>
      <c r="H617" s="29" t="n">
        <v>23</v>
      </c>
      <c r="I617" s="18">
        <f>E617*H617</f>
        <v/>
      </c>
      <c r="J617" s="18">
        <f>F617*H617</f>
        <v/>
      </c>
      <c r="K617" s="28">
        <f>IF(H617&lt;=0, "Out of Stock", IF(H617&lt;=5, "Low Stock", "In Stock"))</f>
        <v/>
      </c>
      <c r="L617" s="28" t="inlineStr">
        <is>
          <t>2025-07-16 03:11 PM</t>
        </is>
      </c>
    </row>
    <row r="618">
      <c r="A618" s="26" t="inlineStr">
        <is>
          <t>8964002346929</t>
        </is>
      </c>
      <c r="B618" s="10" t="inlineStr">
        <is>
          <t>LAY,S CLASSIC 51.8G</t>
        </is>
      </c>
      <c r="C618" s="10" t="inlineStr">
        <is>
          <t>Snacks &amp; Nimko</t>
        </is>
      </c>
      <c r="D618" s="10" t="inlineStr">
        <is>
          <t>Lays</t>
        </is>
      </c>
      <c r="E618" s="13" t="n">
        <v>61</v>
      </c>
      <c r="F618" s="13" t="n">
        <v>70</v>
      </c>
      <c r="G618" s="13">
        <f>F618-E618</f>
        <v/>
      </c>
      <c r="H618" s="27" t="n">
        <v>16</v>
      </c>
      <c r="I618" s="13">
        <f>E618*H618</f>
        <v/>
      </c>
      <c r="J618" s="13">
        <f>F618*H618</f>
        <v/>
      </c>
      <c r="K618" s="26">
        <f>IF(H618&lt;=0, "Out of Stock", IF(H618&lt;=5, "Low Stock", "In Stock"))</f>
        <v/>
      </c>
      <c r="L618" s="26" t="inlineStr">
        <is>
          <t>2025-07-16 03:17 PM</t>
        </is>
      </c>
    </row>
    <row r="619">
      <c r="A619" s="28" t="inlineStr">
        <is>
          <t>8964000090411</t>
        </is>
      </c>
      <c r="B619" s="15" t="inlineStr">
        <is>
          <t>LAY,S CLASSIC 72G</t>
        </is>
      </c>
      <c r="C619" s="15" t="inlineStr">
        <is>
          <t>Snacks &amp; Nimko</t>
        </is>
      </c>
      <c r="D619" s="15" t="inlineStr">
        <is>
          <t>Lays</t>
        </is>
      </c>
      <c r="E619" s="18" t="n">
        <v>89</v>
      </c>
      <c r="F619" s="18" t="n">
        <v>100</v>
      </c>
      <c r="G619" s="18">
        <f>F619-E619</f>
        <v/>
      </c>
      <c r="H619" s="29" t="n">
        <v>0</v>
      </c>
      <c r="I619" s="18">
        <f>E619*H619</f>
        <v/>
      </c>
      <c r="J619" s="18">
        <f>F619*H619</f>
        <v/>
      </c>
      <c r="K619" s="28">
        <f>IF(H619&lt;=0, "Out of Stock", IF(H619&lt;=5, "Low Stock", "In Stock"))</f>
        <v/>
      </c>
      <c r="L619" s="28" t="inlineStr">
        <is>
          <t>2025-07-17 02:24 PM</t>
        </is>
      </c>
    </row>
    <row r="620">
      <c r="A620" s="26" t="inlineStr">
        <is>
          <t>8964002346363</t>
        </is>
      </c>
      <c r="B620" s="10" t="inlineStr">
        <is>
          <t>LAY,S FRENCH CHEESE 120G</t>
        </is>
      </c>
      <c r="C620" s="10" t="inlineStr">
        <is>
          <t>Snacks &amp; Nimko</t>
        </is>
      </c>
      <c r="D620" s="10" t="inlineStr">
        <is>
          <t>Lays</t>
        </is>
      </c>
      <c r="E620" s="13" t="n">
        <v>130</v>
      </c>
      <c r="F620" s="13" t="n">
        <v>150</v>
      </c>
      <c r="G620" s="13">
        <f>F620-E620</f>
        <v/>
      </c>
      <c r="H620" s="27" t="n">
        <v>0</v>
      </c>
      <c r="I620" s="13">
        <f>E620*H620</f>
        <v/>
      </c>
      <c r="J620" s="13">
        <f>F620*H620</f>
        <v/>
      </c>
      <c r="K620" s="26">
        <f>IF(H620&lt;=0, "Out of Stock", IF(H620&lt;=5, "Low Stock", "In Stock"))</f>
        <v/>
      </c>
      <c r="L620" s="26" t="inlineStr">
        <is>
          <t>2025-07-17 02:18 PM</t>
        </is>
      </c>
    </row>
    <row r="621">
      <c r="A621" s="28" t="inlineStr">
        <is>
          <t>8964002345656</t>
        </is>
      </c>
      <c r="B621" s="15" t="inlineStr">
        <is>
          <t>LAY,S FRENCH CHEESE 21G</t>
        </is>
      </c>
      <c r="C621" s="15" t="inlineStr">
        <is>
          <t>Snacks &amp; Nimko</t>
        </is>
      </c>
      <c r="D621" s="15" t="inlineStr">
        <is>
          <t>Lays</t>
        </is>
      </c>
      <c r="E621" s="18" t="n">
        <v>27</v>
      </c>
      <c r="F621" s="18" t="n">
        <v>30</v>
      </c>
      <c r="G621" s="18">
        <f>F621-E621</f>
        <v/>
      </c>
      <c r="H621" s="29" t="n">
        <v>5</v>
      </c>
      <c r="I621" s="18">
        <f>E621*H621</f>
        <v/>
      </c>
      <c r="J621" s="18">
        <f>F621*H621</f>
        <v/>
      </c>
      <c r="K621" s="28">
        <f>IF(H621&lt;=0, "Out of Stock", IF(H621&lt;=5, "Low Stock", "In Stock"))</f>
        <v/>
      </c>
      <c r="L621" s="28" t="inlineStr">
        <is>
          <t>2025-07-16 06:34 PM</t>
        </is>
      </c>
    </row>
    <row r="622">
      <c r="A622" s="26" t="inlineStr">
        <is>
          <t>8964002346899</t>
        </is>
      </c>
      <c r="B622" s="10" t="inlineStr">
        <is>
          <t>LAY,S FRENCH CHEESE 51.8G</t>
        </is>
      </c>
      <c r="C622" s="10" t="inlineStr">
        <is>
          <t>Snacks &amp; Nimko</t>
        </is>
      </c>
      <c r="D622" s="10" t="inlineStr">
        <is>
          <t>Lays</t>
        </is>
      </c>
      <c r="E622" s="13" t="n">
        <v>60.67</v>
      </c>
      <c r="F622" s="13" t="n">
        <v>70</v>
      </c>
      <c r="G622" s="13">
        <f>F622-E622</f>
        <v/>
      </c>
      <c r="H622" s="27" t="n">
        <v>30</v>
      </c>
      <c r="I622" s="13">
        <f>E622*H622</f>
        <v/>
      </c>
      <c r="J622" s="13">
        <f>F622*H622</f>
        <v/>
      </c>
      <c r="K622" s="26">
        <f>IF(H622&lt;=0, "Out of Stock", IF(H622&lt;=5, "Low Stock", "In Stock"))</f>
        <v/>
      </c>
      <c r="L622" s="26" t="inlineStr">
        <is>
          <t>2025-07-16 03:13 PM</t>
        </is>
      </c>
    </row>
    <row r="623">
      <c r="A623" s="28" t="inlineStr">
        <is>
          <t>8964000090435</t>
        </is>
      </c>
      <c r="B623" s="15" t="inlineStr">
        <is>
          <t>LAY,S FRENCH CHEESE 82.8G</t>
        </is>
      </c>
      <c r="C623" s="15" t="inlineStr">
        <is>
          <t>Snacks &amp; Nimko</t>
        </is>
      </c>
      <c r="D623" s="15" t="inlineStr">
        <is>
          <t>Lays</t>
        </is>
      </c>
      <c r="E623" s="18" t="n">
        <v>86.56</v>
      </c>
      <c r="F623" s="18" t="n">
        <v>100</v>
      </c>
      <c r="G623" s="18">
        <f>F623-E623</f>
        <v/>
      </c>
      <c r="H623" s="29" t="n">
        <v>3</v>
      </c>
      <c r="I623" s="18">
        <f>E623*H623</f>
        <v/>
      </c>
      <c r="J623" s="18">
        <f>F623*H623</f>
        <v/>
      </c>
      <c r="K623" s="28">
        <f>IF(H623&lt;=0, "Out of Stock", IF(H623&lt;=5, "Low Stock", "In Stock"))</f>
        <v/>
      </c>
      <c r="L623" s="28" t="inlineStr">
        <is>
          <t>2025-07-16 03:20 PM</t>
        </is>
      </c>
    </row>
    <row r="624">
      <c r="A624" s="26" t="inlineStr">
        <is>
          <t>8964002346394</t>
        </is>
      </c>
      <c r="B624" s="10" t="inlineStr">
        <is>
          <t>LAY,S MASALA 120G</t>
        </is>
      </c>
      <c r="C624" s="10" t="inlineStr">
        <is>
          <t>Snacks &amp; Nimko</t>
        </is>
      </c>
      <c r="D624" s="10" t="inlineStr">
        <is>
          <t>Lays</t>
        </is>
      </c>
      <c r="E624" s="13" t="n">
        <v>130</v>
      </c>
      <c r="F624" s="13" t="n">
        <v>150</v>
      </c>
      <c r="G624" s="13">
        <f>F624-E624</f>
        <v/>
      </c>
      <c r="H624" s="27" t="n">
        <v>0</v>
      </c>
      <c r="I624" s="13">
        <f>E624*H624</f>
        <v/>
      </c>
      <c r="J624" s="13">
        <f>F624*H624</f>
        <v/>
      </c>
      <c r="K624" s="26">
        <f>IF(H624&lt;=0, "Out of Stock", IF(H624&lt;=5, "Low Stock", "In Stock"))</f>
        <v/>
      </c>
      <c r="L624" s="26" t="inlineStr">
        <is>
          <t>2025-07-17 02:21 PM</t>
        </is>
      </c>
    </row>
    <row r="625">
      <c r="A625" s="28" t="inlineStr">
        <is>
          <t>8964002345649</t>
        </is>
      </c>
      <c r="B625" s="15" t="inlineStr">
        <is>
          <t>LAY,S MASALA 21G</t>
        </is>
      </c>
      <c r="C625" s="15" t="inlineStr">
        <is>
          <t>Snacks &amp; Nimko</t>
        </is>
      </c>
      <c r="D625" s="15" t="inlineStr">
        <is>
          <t>Lays</t>
        </is>
      </c>
      <c r="E625" s="18" t="n">
        <v>26</v>
      </c>
      <c r="F625" s="18" t="n">
        <v>30</v>
      </c>
      <c r="G625" s="18">
        <f>F625-E625</f>
        <v/>
      </c>
      <c r="H625" s="29" t="n">
        <v>15</v>
      </c>
      <c r="I625" s="18">
        <f>E625*H625</f>
        <v/>
      </c>
      <c r="J625" s="18">
        <f>F625*H625</f>
        <v/>
      </c>
      <c r="K625" s="28">
        <f>IF(H625&lt;=0, "Out of Stock", IF(H625&lt;=5, "Low Stock", "In Stock"))</f>
        <v/>
      </c>
      <c r="L625" s="28" t="inlineStr">
        <is>
          <t>2025-07-16 06:00 PM</t>
        </is>
      </c>
    </row>
    <row r="626">
      <c r="A626" s="26" t="inlineStr">
        <is>
          <t>8964002345595</t>
        </is>
      </c>
      <c r="B626" s="10" t="inlineStr">
        <is>
          <t>LAY,S MASALA 34.4G</t>
        </is>
      </c>
      <c r="C626" s="10" t="inlineStr">
        <is>
          <t>Snacks &amp; Nimko</t>
        </is>
      </c>
      <c r="D626" s="10" t="inlineStr">
        <is>
          <t>Lays</t>
        </is>
      </c>
      <c r="E626" s="13" t="n">
        <v>43.63</v>
      </c>
      <c r="F626" s="13" t="n">
        <v>50</v>
      </c>
      <c r="G626" s="13">
        <f>F626-E626</f>
        <v/>
      </c>
      <c r="H626" s="27" t="n">
        <v>45</v>
      </c>
      <c r="I626" s="13">
        <f>E626*H626</f>
        <v/>
      </c>
      <c r="J626" s="13">
        <f>F626*H626</f>
        <v/>
      </c>
      <c r="K626" s="26">
        <f>IF(H626&lt;=0, "Out of Stock", IF(H626&lt;=5, "Low Stock", "In Stock"))</f>
        <v/>
      </c>
      <c r="L626" s="26" t="inlineStr">
        <is>
          <t>2025-07-16 06:04 PM</t>
        </is>
      </c>
    </row>
    <row r="627">
      <c r="A627" s="28" t="inlineStr">
        <is>
          <t>8964002346912</t>
        </is>
      </c>
      <c r="B627" s="15" t="inlineStr">
        <is>
          <t>LAY,S MASALA 51.8G</t>
        </is>
      </c>
      <c r="C627" s="15" t="inlineStr">
        <is>
          <t>Snacks &amp; Nimko</t>
        </is>
      </c>
      <c r="D627" s="15" t="inlineStr">
        <is>
          <t>Lays</t>
        </is>
      </c>
      <c r="E627" s="18" t="n">
        <v>61</v>
      </c>
      <c r="F627" s="18" t="n">
        <v>70</v>
      </c>
      <c r="G627" s="18">
        <f>F627-E627</f>
        <v/>
      </c>
      <c r="H627" s="29" t="n">
        <v>10</v>
      </c>
      <c r="I627" s="18">
        <f>E627*H627</f>
        <v/>
      </c>
      <c r="J627" s="18">
        <f>F627*H627</f>
        <v/>
      </c>
      <c r="K627" s="28">
        <f>IF(H627&lt;=0, "Out of Stock", IF(H627&lt;=5, "Low Stock", "In Stock"))</f>
        <v/>
      </c>
      <c r="L627" s="28" t="inlineStr">
        <is>
          <t>2025-07-31 10:14 AM</t>
        </is>
      </c>
    </row>
    <row r="628">
      <c r="A628" s="26" t="inlineStr">
        <is>
          <t>8964002347421</t>
        </is>
      </c>
      <c r="B628" s="10" t="inlineStr">
        <is>
          <t>LAY,S WAVY BBQ 16G</t>
        </is>
      </c>
      <c r="C628" s="10" t="inlineStr">
        <is>
          <t>Snacks &amp; Nimko</t>
        </is>
      </c>
      <c r="D628" s="10" t="inlineStr">
        <is>
          <t>Lays</t>
        </is>
      </c>
      <c r="E628" s="13" t="n">
        <v>26</v>
      </c>
      <c r="F628" s="13" t="n">
        <v>30</v>
      </c>
      <c r="G628" s="13">
        <f>F628-E628</f>
        <v/>
      </c>
      <c r="H628" s="27" t="n">
        <v>29</v>
      </c>
      <c r="I628" s="13">
        <f>E628*H628</f>
        <v/>
      </c>
      <c r="J628" s="13">
        <f>F628*H628</f>
        <v/>
      </c>
      <c r="K628" s="26">
        <f>IF(H628&lt;=0, "Out of Stock", IF(H628&lt;=5, "Low Stock", "In Stock"))</f>
        <v/>
      </c>
      <c r="L628" s="26" t="inlineStr">
        <is>
          <t>2025-07-16 03:26 PM</t>
        </is>
      </c>
    </row>
    <row r="629">
      <c r="A629" s="28" t="inlineStr">
        <is>
          <t>8964002346783</t>
        </is>
      </c>
      <c r="B629" s="15" t="inlineStr">
        <is>
          <t>LAY,S WAVY BBQ 30G</t>
        </is>
      </c>
      <c r="C629" s="15" t="inlineStr">
        <is>
          <t>Snacks &amp; Nimko</t>
        </is>
      </c>
      <c r="D629" s="15" t="inlineStr">
        <is>
          <t>Lays</t>
        </is>
      </c>
      <c r="E629" s="18" t="n">
        <v>43</v>
      </c>
      <c r="F629" s="18" t="n">
        <v>50</v>
      </c>
      <c r="G629" s="18">
        <f>F629-E629</f>
        <v/>
      </c>
      <c r="H629" s="29" t="n">
        <v>0</v>
      </c>
      <c r="I629" s="18">
        <f>E629*H629</f>
        <v/>
      </c>
      <c r="J629" s="18">
        <f>F629*H629</f>
        <v/>
      </c>
      <c r="K629" s="28">
        <f>IF(H629&lt;=0, "Out of Stock", IF(H629&lt;=5, "Low Stock", "In Stock"))</f>
        <v/>
      </c>
      <c r="L629" s="28" t="inlineStr">
        <is>
          <t>2025-07-19 06:56 PM</t>
        </is>
      </c>
    </row>
    <row r="630">
      <c r="A630" s="26" t="inlineStr">
        <is>
          <t>8964002346806</t>
        </is>
      </c>
      <c r="B630" s="10" t="inlineStr">
        <is>
          <t>LAY,S WAVY BBQ 45G</t>
        </is>
      </c>
      <c r="C630" s="10" t="inlineStr">
        <is>
          <t>Snacks &amp; Nimko</t>
        </is>
      </c>
      <c r="D630" s="10" t="inlineStr">
        <is>
          <t>Lays</t>
        </is>
      </c>
      <c r="E630" s="13" t="n">
        <v>61.61</v>
      </c>
      <c r="F630" s="13" t="n">
        <v>70</v>
      </c>
      <c r="G630" s="13">
        <f>F630-E630</f>
        <v/>
      </c>
      <c r="H630" s="27" t="n">
        <v>12</v>
      </c>
      <c r="I630" s="13">
        <f>E630*H630</f>
        <v/>
      </c>
      <c r="J630" s="13">
        <f>F630*H630</f>
        <v/>
      </c>
      <c r="K630" s="26">
        <f>IF(H630&lt;=0, "Out of Stock", IF(H630&lt;=5, "Low Stock", "In Stock"))</f>
        <v/>
      </c>
      <c r="L630" s="26" t="inlineStr">
        <is>
          <t>2025-07-18 06:35 PM</t>
        </is>
      </c>
    </row>
    <row r="631">
      <c r="A631" s="28" t="inlineStr">
        <is>
          <t>8964002346677</t>
        </is>
      </c>
      <c r="B631" s="15" t="inlineStr">
        <is>
          <t>LAY,S WAVY BBQ 70G</t>
        </is>
      </c>
      <c r="C631" s="15" t="inlineStr">
        <is>
          <t>Snacks &amp; Nimko</t>
        </is>
      </c>
      <c r="D631" s="15" t="inlineStr">
        <is>
          <t>Lays</t>
        </is>
      </c>
      <c r="E631" s="18" t="n">
        <v>87.7</v>
      </c>
      <c r="F631" s="18" t="n">
        <v>100</v>
      </c>
      <c r="G631" s="18">
        <f>F631-E631</f>
        <v/>
      </c>
      <c r="H631" s="29" t="n">
        <v>10</v>
      </c>
      <c r="I631" s="18">
        <f>E631*H631</f>
        <v/>
      </c>
      <c r="J631" s="18">
        <f>F631*H631</f>
        <v/>
      </c>
      <c r="K631" s="28">
        <f>IF(H631&lt;=0, "Out of Stock", IF(H631&lt;=5, "Low Stock", "In Stock"))</f>
        <v/>
      </c>
      <c r="L631" s="28" t="inlineStr">
        <is>
          <t>2025-07-16 02:59 PM</t>
        </is>
      </c>
    </row>
    <row r="632">
      <c r="A632" s="26" t="inlineStr">
        <is>
          <t>8964002346776</t>
        </is>
      </c>
      <c r="B632" s="10" t="inlineStr">
        <is>
          <t>LAY,S WAVY FLAMIN HOT 30G</t>
        </is>
      </c>
      <c r="C632" s="10" t="inlineStr">
        <is>
          <t>Snacks &amp; Nimko</t>
        </is>
      </c>
      <c r="D632" s="10" t="inlineStr">
        <is>
          <t>Lays</t>
        </is>
      </c>
      <c r="E632" s="13" t="n">
        <v>43.72</v>
      </c>
      <c r="F632" s="13" t="n">
        <v>50</v>
      </c>
      <c r="G632" s="13">
        <f>F632-E632</f>
        <v/>
      </c>
      <c r="H632" s="27" t="n">
        <v>71</v>
      </c>
      <c r="I632" s="13">
        <f>E632*H632</f>
        <v/>
      </c>
      <c r="J632" s="13">
        <f>F632*H632</f>
        <v/>
      </c>
      <c r="K632" s="26">
        <f>IF(H632&lt;=0, "Out of Stock", IF(H632&lt;=5, "Low Stock", "In Stock"))</f>
        <v/>
      </c>
      <c r="L632" s="26" t="inlineStr">
        <is>
          <t>2025-07-16 06:06 PM</t>
        </is>
      </c>
    </row>
    <row r="633">
      <c r="A633" s="28" t="inlineStr">
        <is>
          <t>8964002345625</t>
        </is>
      </c>
      <c r="B633" s="15" t="inlineStr">
        <is>
          <t>LAY,S Y &amp; H</t>
        </is>
      </c>
      <c r="C633" s="15" t="inlineStr">
        <is>
          <t>Snacks &amp; Nimko</t>
        </is>
      </c>
      <c r="D633" s="15" t="inlineStr">
        <is>
          <t>Lays</t>
        </is>
      </c>
      <c r="E633" s="18" t="n">
        <v>42.72</v>
      </c>
      <c r="F633" s="18" t="n">
        <v>50</v>
      </c>
      <c r="G633" s="18">
        <f>F633-E633</f>
        <v/>
      </c>
      <c r="H633" s="29" t="n">
        <v>88</v>
      </c>
      <c r="I633" s="18">
        <f>E633*H633</f>
        <v/>
      </c>
      <c r="J633" s="18">
        <f>F633*H633</f>
        <v/>
      </c>
      <c r="K633" s="28">
        <f>IF(H633&lt;=0, "Out of Stock", IF(H633&lt;=5, "Low Stock", "In Stock"))</f>
        <v/>
      </c>
      <c r="L633" s="28" t="inlineStr">
        <is>
          <t>2025-07-16 02:55 PM</t>
        </is>
      </c>
    </row>
    <row r="634">
      <c r="A634" s="26" t="inlineStr">
        <is>
          <t>8964002346370</t>
        </is>
      </c>
      <c r="B634" s="10" t="inlineStr">
        <is>
          <t>LAY,S Y &amp; H 120 G</t>
        </is>
      </c>
      <c r="C634" s="10" t="inlineStr">
        <is>
          <t>Snacks &amp; Nimko</t>
        </is>
      </c>
      <c r="D634" s="10" t="inlineStr">
        <is>
          <t>Lays</t>
        </is>
      </c>
      <c r="E634" s="13" t="n">
        <v>129.33</v>
      </c>
      <c r="F634" s="13" t="n">
        <v>150</v>
      </c>
      <c r="G634" s="13">
        <f>F634-E634</f>
        <v/>
      </c>
      <c r="H634" s="27" t="n">
        <v>7</v>
      </c>
      <c r="I634" s="13">
        <f>E634*H634</f>
        <v/>
      </c>
      <c r="J634" s="13">
        <f>F634*H634</f>
        <v/>
      </c>
      <c r="K634" s="26">
        <f>IF(H634&lt;=0, "Out of Stock", IF(H634&lt;=5, "Low Stock", "In Stock"))</f>
        <v/>
      </c>
      <c r="L634" s="26" t="inlineStr">
        <is>
          <t>2025-07-17 02:20 PM</t>
        </is>
      </c>
    </row>
    <row r="635">
      <c r="A635" s="28" t="inlineStr">
        <is>
          <t>8964002345670</t>
        </is>
      </c>
      <c r="B635" s="15" t="inlineStr">
        <is>
          <t>LAY,S Y &amp; H 21G</t>
        </is>
      </c>
      <c r="C635" s="15" t="inlineStr">
        <is>
          <t>Snacks &amp; Nimko</t>
        </is>
      </c>
      <c r="D635" s="15" t="inlineStr">
        <is>
          <t>Lays</t>
        </is>
      </c>
      <c r="E635" s="18" t="n">
        <v>26</v>
      </c>
      <c r="F635" s="18" t="n">
        <v>30</v>
      </c>
      <c r="G635" s="18">
        <f>F635-E635</f>
        <v/>
      </c>
      <c r="H635" s="29" t="n">
        <v>15</v>
      </c>
      <c r="I635" s="18">
        <f>E635*H635</f>
        <v/>
      </c>
      <c r="J635" s="18">
        <f>F635*H635</f>
        <v/>
      </c>
      <c r="K635" s="28">
        <f>IF(H635&lt;=0, "Out of Stock", IF(H635&lt;=5, "Low Stock", "In Stock"))</f>
        <v/>
      </c>
      <c r="L635" s="28" t="inlineStr">
        <is>
          <t>2025-07-16 06:26 PM</t>
        </is>
      </c>
    </row>
    <row r="636">
      <c r="A636" s="26" t="inlineStr">
        <is>
          <t>8964002346905</t>
        </is>
      </c>
      <c r="B636" s="10" t="inlineStr">
        <is>
          <t>LAY,S Y &amp; H 51.8G</t>
        </is>
      </c>
      <c r="C636" s="10" t="inlineStr">
        <is>
          <t>Snacks &amp; Nimko</t>
        </is>
      </c>
      <c r="D636" s="10" t="inlineStr">
        <is>
          <t>Lays</t>
        </is>
      </c>
      <c r="E636" s="13" t="n">
        <v>61</v>
      </c>
      <c r="F636" s="13" t="n">
        <v>70</v>
      </c>
      <c r="G636" s="13">
        <f>F636-E636</f>
        <v/>
      </c>
      <c r="H636" s="27" t="n">
        <v>8</v>
      </c>
      <c r="I636" s="13">
        <f>E636*H636</f>
        <v/>
      </c>
      <c r="J636" s="13">
        <f>F636*H636</f>
        <v/>
      </c>
      <c r="K636" s="26">
        <f>IF(H636&lt;=0, "Out of Stock", IF(H636&lt;=5, "Low Stock", "In Stock"))</f>
        <v/>
      </c>
      <c r="L636" s="26" t="inlineStr">
        <is>
          <t>2025-07-16 03:16 PM</t>
        </is>
      </c>
    </row>
    <row r="637">
      <c r="A637" s="28" t="inlineStr">
        <is>
          <t>8964002347063</t>
        </is>
      </c>
      <c r="B637" s="15" t="inlineStr">
        <is>
          <t>LAY,S Y &amp; H 82.8G</t>
        </is>
      </c>
      <c r="C637" s="15" t="inlineStr">
        <is>
          <t>Snacks &amp; Nimko</t>
        </is>
      </c>
      <c r="D637" s="15" t="inlineStr">
        <is>
          <t>Lays</t>
        </is>
      </c>
      <c r="E637" s="18" t="n">
        <v>86.5</v>
      </c>
      <c r="F637" s="18" t="n">
        <v>100</v>
      </c>
      <c r="G637" s="18">
        <f>F637-E637</f>
        <v/>
      </c>
      <c r="H637" s="29" t="n">
        <v>10</v>
      </c>
      <c r="I637" s="18">
        <f>E637*H637</f>
        <v/>
      </c>
      <c r="J637" s="18">
        <f>F637*H637</f>
        <v/>
      </c>
      <c r="K637" s="28">
        <f>IF(H637&lt;=0, "Out of Stock", IF(H637&lt;=5, "Low Stock", "In Stock"))</f>
        <v/>
      </c>
      <c r="L637" s="28" t="inlineStr">
        <is>
          <t>2025-07-16 03:22 PM</t>
        </is>
      </c>
    </row>
    <row r="638">
      <c r="A638" s="26" t="inlineStr">
        <is>
          <t>8964201528485</t>
        </is>
      </c>
      <c r="B638" s="10" t="inlineStr">
        <is>
          <t>CRISPY NAMKEEN RS.10</t>
        </is>
      </c>
      <c r="C638" s="10" t="inlineStr">
        <is>
          <t>Snacks &amp; Nimko</t>
        </is>
      </c>
      <c r="D638" s="10" t="inlineStr">
        <is>
          <t>Namkeen</t>
        </is>
      </c>
      <c r="E638" s="13" t="n">
        <v>8</v>
      </c>
      <c r="F638" s="13" t="n">
        <v>10</v>
      </c>
      <c r="G638" s="13">
        <f>F638-E638</f>
        <v/>
      </c>
      <c r="H638" s="27" t="n">
        <v>43</v>
      </c>
      <c r="I638" s="13">
        <f>E638*H638</f>
        <v/>
      </c>
      <c r="J638" s="13">
        <f>F638*H638</f>
        <v/>
      </c>
      <c r="K638" s="26">
        <f>IF(H638&lt;=0, "Out of Stock", IF(H638&lt;=5, "Low Stock", "In Stock"))</f>
        <v/>
      </c>
      <c r="L638" s="26" t="inlineStr">
        <is>
          <t>2025-08-03 07:36 PM</t>
        </is>
      </c>
    </row>
    <row r="639">
      <c r="A639" s="28" t="inlineStr">
        <is>
          <t>321545480813</t>
        </is>
      </c>
      <c r="B639" s="15" t="inlineStr">
        <is>
          <t>DELIGHT MIX MINCO</t>
        </is>
      </c>
      <c r="C639" s="15" t="inlineStr">
        <is>
          <t>Snacks &amp; Nimko</t>
        </is>
      </c>
      <c r="D639" s="15" t="inlineStr">
        <is>
          <t>Nimco</t>
        </is>
      </c>
      <c r="E639" s="18" t="n">
        <v>18</v>
      </c>
      <c r="F639" s="18" t="n">
        <v>20</v>
      </c>
      <c r="G639" s="18">
        <f>F639-E639</f>
        <v/>
      </c>
      <c r="H639" s="29" t="n">
        <v>1</v>
      </c>
      <c r="I639" s="18">
        <f>E639*H639</f>
        <v/>
      </c>
      <c r="J639" s="18">
        <f>F639*H639</f>
        <v/>
      </c>
      <c r="K639" s="28">
        <f>IF(H639&lt;=0, "Out of Stock", IF(H639&lt;=5, "Low Stock", "In Stock"))</f>
        <v/>
      </c>
      <c r="L639" s="28" t="inlineStr">
        <is>
          <t>2025-07-19 03:09 PM</t>
        </is>
      </c>
    </row>
    <row r="640">
      <c r="A640" s="26" t="inlineStr">
        <is>
          <t>8734572032535</t>
        </is>
      </c>
      <c r="B640" s="10" t="inlineStr">
        <is>
          <t>NIMKO SPICY RS.50</t>
        </is>
      </c>
      <c r="C640" s="10" t="inlineStr">
        <is>
          <t>Snacks &amp; Nimko</t>
        </is>
      </c>
      <c r="D640" s="10" t="inlineStr">
        <is>
          <t>Nimko</t>
        </is>
      </c>
      <c r="E640" s="13" t="n">
        <v>41.67</v>
      </c>
      <c r="F640" s="13" t="n">
        <v>50</v>
      </c>
      <c r="G640" s="13">
        <f>F640-E640</f>
        <v/>
      </c>
      <c r="H640" s="27" t="n">
        <v>18</v>
      </c>
      <c r="I640" s="13">
        <f>E640*H640</f>
        <v/>
      </c>
      <c r="J640" s="13">
        <f>F640*H640</f>
        <v/>
      </c>
      <c r="K640" s="26">
        <f>IF(H640&lt;=0, "Out of Stock", IF(H640&lt;=5, "Low Stock", "In Stock"))</f>
        <v/>
      </c>
      <c r="L640" s="26" t="inlineStr">
        <is>
          <t>2025-08-03 04:38 PM</t>
        </is>
      </c>
    </row>
    <row r="641">
      <c r="A641" s="28" t="inlineStr">
        <is>
          <t>8964000585313</t>
        </is>
      </c>
      <c r="B641" s="15" t="inlineStr">
        <is>
          <t>NIMKOMIX SPICY 100</t>
        </is>
      </c>
      <c r="C641" s="15" t="inlineStr">
        <is>
          <t>Snacks &amp; Nimko</t>
        </is>
      </c>
      <c r="D641" s="15" t="inlineStr">
        <is>
          <t>Nimko</t>
        </is>
      </c>
      <c r="E641" s="18" t="n">
        <v>88</v>
      </c>
      <c r="F641" s="18" t="n">
        <v>100</v>
      </c>
      <c r="G641" s="18">
        <f>F641-E641</f>
        <v/>
      </c>
      <c r="H641" s="29" t="n">
        <v>11</v>
      </c>
      <c r="I641" s="18">
        <f>E641*H641</f>
        <v/>
      </c>
      <c r="J641" s="18">
        <f>F641*H641</f>
        <v/>
      </c>
      <c r="K641" s="28">
        <f>IF(H641&lt;=0, "Out of Stock", IF(H641&lt;=5, "Low Stock", "In Stock"))</f>
        <v/>
      </c>
      <c r="L641" s="28" t="inlineStr">
        <is>
          <t>2025-07-15 08:55 AM</t>
        </is>
      </c>
    </row>
    <row r="642">
      <c r="A642" s="26" t="inlineStr">
        <is>
          <t>8961100087051</t>
        </is>
      </c>
      <c r="B642" s="10" t="inlineStr">
        <is>
          <t>NIMKOMIX SPICY 60</t>
        </is>
      </c>
      <c r="C642" s="10" t="inlineStr">
        <is>
          <t>Snacks &amp; Nimko</t>
        </is>
      </c>
      <c r="D642" s="10" t="inlineStr">
        <is>
          <t>Nimko</t>
        </is>
      </c>
      <c r="E642" s="13" t="n">
        <v>53</v>
      </c>
      <c r="F642" s="13" t="n">
        <v>60</v>
      </c>
      <c r="G642" s="13">
        <f>F642-E642</f>
        <v/>
      </c>
      <c r="H642" s="27" t="n">
        <v>15</v>
      </c>
      <c r="I642" s="13">
        <f>E642*H642</f>
        <v/>
      </c>
      <c r="J642" s="13">
        <f>F642*H642</f>
        <v/>
      </c>
      <c r="K642" s="26">
        <f>IF(H642&lt;=0, "Out of Stock", IF(H642&lt;=5, "Low Stock", "In Stock"))</f>
        <v/>
      </c>
      <c r="L642" s="26" t="inlineStr">
        <is>
          <t>2025-07-15 08:55 AM</t>
        </is>
      </c>
    </row>
    <row r="643">
      <c r="A643" s="28" t="inlineStr">
        <is>
          <t>8734572035321</t>
        </is>
      </c>
      <c r="B643" s="15" t="inlineStr">
        <is>
          <t>TASTOO SPICY NIMKO</t>
        </is>
      </c>
      <c r="C643" s="15" t="inlineStr">
        <is>
          <t>Snacks &amp; Nimko</t>
        </is>
      </c>
      <c r="D643" s="15" t="inlineStr">
        <is>
          <t>Nimko</t>
        </is>
      </c>
      <c r="E643" s="18" t="n">
        <v>16</v>
      </c>
      <c r="F643" s="18" t="n">
        <v>20</v>
      </c>
      <c r="G643" s="18">
        <f>F643-E643</f>
        <v/>
      </c>
      <c r="H643" s="29" t="n">
        <v>53</v>
      </c>
      <c r="I643" s="18">
        <f>E643*H643</f>
        <v/>
      </c>
      <c r="J643" s="18">
        <f>F643*H643</f>
        <v/>
      </c>
      <c r="K643" s="28">
        <f>IF(H643&lt;=0, "Out of Stock", IF(H643&lt;=5, "Low Stock", "In Stock"))</f>
        <v/>
      </c>
      <c r="L643" s="28" t="inlineStr">
        <is>
          <t>2025-08-03 04:29 PM</t>
        </is>
      </c>
    </row>
    <row r="644">
      <c r="A644" s="26" t="inlineStr">
        <is>
          <t>8734572389035</t>
        </is>
      </c>
      <c r="B644" s="10" t="inlineStr">
        <is>
          <t>TASTOO SPICY NIMKO RS10</t>
        </is>
      </c>
      <c r="C644" s="10" t="inlineStr">
        <is>
          <t>Snacks &amp; Nimko</t>
        </is>
      </c>
      <c r="D644" s="10" t="inlineStr">
        <is>
          <t>Nimko</t>
        </is>
      </c>
      <c r="E644" s="13" t="n">
        <v>8.33</v>
      </c>
      <c r="F644" s="13" t="n">
        <v>10</v>
      </c>
      <c r="G644" s="13">
        <f>F644-E644</f>
        <v/>
      </c>
      <c r="H644" s="27" t="n">
        <v>67</v>
      </c>
      <c r="I644" s="13">
        <f>E644*H644</f>
        <v/>
      </c>
      <c r="J644" s="13">
        <f>F644*H644</f>
        <v/>
      </c>
      <c r="K644" s="26">
        <f>IF(H644&lt;=0, "Out of Stock", IF(H644&lt;=5, "Low Stock", "In Stock"))</f>
        <v/>
      </c>
      <c r="L644" s="26" t="inlineStr">
        <is>
          <t>2025-08-03 04:34 PM</t>
        </is>
      </c>
    </row>
    <row r="645">
      <c r="A645" s="28" t="inlineStr">
        <is>
          <t>8964000829325</t>
        </is>
      </c>
      <c r="B645" s="15" t="inlineStr">
        <is>
          <t>RINGIO CHEESY CORN</t>
        </is>
      </c>
      <c r="C645" s="15" t="inlineStr">
        <is>
          <t>Snacks &amp; Nimko</t>
        </is>
      </c>
      <c r="D645" s="15" t="inlineStr">
        <is>
          <t>Ringio</t>
        </is>
      </c>
      <c r="E645" s="18" t="n">
        <v>43</v>
      </c>
      <c r="F645" s="18" t="n">
        <v>50</v>
      </c>
      <c r="G645" s="18">
        <f>F645-E645</f>
        <v/>
      </c>
      <c r="H645" s="29" t="n">
        <v>3</v>
      </c>
      <c r="I645" s="18">
        <f>E645*H645</f>
        <v/>
      </c>
      <c r="J645" s="18">
        <f>F645*H645</f>
        <v/>
      </c>
      <c r="K645" s="28">
        <f>IF(H645&lt;=0, "Out of Stock", IF(H645&lt;=5, "Low Stock", "In Stock"))</f>
        <v/>
      </c>
      <c r="L645" s="28" t="inlineStr">
        <is>
          <t>2025-07-18 06:51 PM</t>
        </is>
      </c>
    </row>
    <row r="646">
      <c r="A646" s="26" t="inlineStr">
        <is>
          <t>8964000829332</t>
        </is>
      </c>
      <c r="B646" s="10" t="inlineStr">
        <is>
          <t>RINGIO CRISPY CORN</t>
        </is>
      </c>
      <c r="C646" s="10" t="inlineStr">
        <is>
          <t>Snacks &amp; Nimko</t>
        </is>
      </c>
      <c r="D646" s="10" t="inlineStr">
        <is>
          <t>Ringo</t>
        </is>
      </c>
      <c r="E646" s="13" t="n">
        <v>35.75</v>
      </c>
      <c r="F646" s="13" t="n">
        <v>50</v>
      </c>
      <c r="G646" s="13">
        <f>F646-E646</f>
        <v/>
      </c>
      <c r="H646" s="27" t="n">
        <v>46</v>
      </c>
      <c r="I646" s="13">
        <f>E646*H646</f>
        <v/>
      </c>
      <c r="J646" s="13">
        <f>F646*H646</f>
        <v/>
      </c>
      <c r="K646" s="26">
        <f>IF(H646&lt;=0, "Out of Stock", IF(H646&lt;=5, "Low Stock", "In Stock"))</f>
        <v/>
      </c>
      <c r="L646" s="26" t="inlineStr">
        <is>
          <t>2025-07-18 06:50 PM</t>
        </is>
      </c>
    </row>
    <row r="647">
      <c r="A647" s="28" t="inlineStr">
        <is>
          <t>9344000076742</t>
        </is>
      </c>
      <c r="B647" s="15" t="inlineStr">
        <is>
          <t>TASOO CORN CHIPS</t>
        </is>
      </c>
      <c r="C647" s="15" t="inlineStr">
        <is>
          <t>Snacks &amp; Nimko</t>
        </is>
      </c>
      <c r="D647" s="15" t="inlineStr">
        <is>
          <t>Tasoo</t>
        </is>
      </c>
      <c r="E647" s="18" t="n">
        <v>8</v>
      </c>
      <c r="F647" s="18" t="n">
        <v>10</v>
      </c>
      <c r="G647" s="18">
        <f>F647-E647</f>
        <v/>
      </c>
      <c r="H647" s="29" t="n">
        <v>72</v>
      </c>
      <c r="I647" s="18">
        <f>E647*H647</f>
        <v/>
      </c>
      <c r="J647" s="18">
        <f>F647*H647</f>
        <v/>
      </c>
      <c r="K647" s="28">
        <f>IF(H647&lt;=0, "Out of Stock", IF(H647&lt;=5, "Low Stock", "In Stock"))</f>
        <v/>
      </c>
      <c r="L647" s="28" t="inlineStr">
        <is>
          <t>2025-08-03 04:07 PM</t>
        </is>
      </c>
    </row>
    <row r="648">
      <c r="A648" s="26" t="inlineStr">
        <is>
          <t>726529986075</t>
        </is>
      </c>
      <c r="B648" s="10" t="inlineStr">
        <is>
          <t>TASOO DIL WALEY</t>
        </is>
      </c>
      <c r="C648" s="10" t="inlineStr">
        <is>
          <t>Snacks &amp; Nimko</t>
        </is>
      </c>
      <c r="D648" s="10" t="inlineStr">
        <is>
          <t>Tasoo</t>
        </is>
      </c>
      <c r="E648" s="13" t="n">
        <v>8</v>
      </c>
      <c r="F648" s="13" t="n">
        <v>20</v>
      </c>
      <c r="G648" s="13">
        <f>F648-E648</f>
        <v/>
      </c>
      <c r="H648" s="27" t="n">
        <v>71</v>
      </c>
      <c r="I648" s="13">
        <f>E648*H648</f>
        <v/>
      </c>
      <c r="J648" s="13">
        <f>F648*H648</f>
        <v/>
      </c>
      <c r="K648" s="26">
        <f>IF(H648&lt;=0, "Out of Stock", IF(H648&lt;=5, "Low Stock", "In Stock"))</f>
        <v/>
      </c>
      <c r="L648" s="26" t="inlineStr">
        <is>
          <t>2025-08-03 04:11 PM</t>
        </is>
      </c>
    </row>
    <row r="649">
      <c r="A649" s="28" t="inlineStr">
        <is>
          <t>9344000076773</t>
        </is>
      </c>
      <c r="B649" s="15" t="inlineStr">
        <is>
          <t>TASOO HOT BITES</t>
        </is>
      </c>
      <c r="C649" s="15" t="inlineStr">
        <is>
          <t>Snacks &amp; Nimko</t>
        </is>
      </c>
      <c r="D649" s="15" t="inlineStr">
        <is>
          <t>Tasoo</t>
        </is>
      </c>
      <c r="E649" s="18" t="n">
        <v>8</v>
      </c>
      <c r="F649" s="18" t="n">
        <v>10</v>
      </c>
      <c r="G649" s="18">
        <f>F649-E649</f>
        <v/>
      </c>
      <c r="H649" s="29" t="n">
        <v>72</v>
      </c>
      <c r="I649" s="18">
        <f>E649*H649</f>
        <v/>
      </c>
      <c r="J649" s="18">
        <f>F649*H649</f>
        <v/>
      </c>
      <c r="K649" s="28">
        <f>IF(H649&lt;=0, "Out of Stock", IF(H649&lt;=5, "Low Stock", "In Stock"))</f>
        <v/>
      </c>
      <c r="L649" s="28" t="inlineStr">
        <is>
          <t>2025-08-03 04:06 PM</t>
        </is>
      </c>
    </row>
    <row r="650">
      <c r="A650" s="26" t="inlineStr">
        <is>
          <t>9344000076704</t>
        </is>
      </c>
      <c r="B650" s="10" t="inlineStr">
        <is>
          <t>TASTOO CPICY CHICKEN</t>
        </is>
      </c>
      <c r="C650" s="10" t="inlineStr">
        <is>
          <t>Snacks &amp; Nimko</t>
        </is>
      </c>
      <c r="D650" s="10" t="inlineStr">
        <is>
          <t>Tastoo</t>
        </is>
      </c>
      <c r="E650" s="13" t="n">
        <v>16.11</v>
      </c>
      <c r="F650" s="13" t="n">
        <v>20</v>
      </c>
      <c r="G650" s="13">
        <f>F650-E650</f>
        <v/>
      </c>
      <c r="H650" s="27" t="n">
        <v>32</v>
      </c>
      <c r="I650" s="13">
        <f>E650*H650</f>
        <v/>
      </c>
      <c r="J650" s="13">
        <f>F650*H650</f>
        <v/>
      </c>
      <c r="K650" s="26">
        <f>IF(H650&lt;=0, "Out of Stock", IF(H650&lt;=5, "Low Stock", "In Stock"))</f>
        <v/>
      </c>
      <c r="L650" s="26" t="inlineStr">
        <is>
          <t>2025-08-03 03:36 PM</t>
        </is>
      </c>
    </row>
    <row r="651">
      <c r="A651" s="28" t="inlineStr">
        <is>
          <t>9344000076711</t>
        </is>
      </c>
      <c r="B651" s="15" t="inlineStr">
        <is>
          <t>TASTOO EASY BITES</t>
        </is>
      </c>
      <c r="C651" s="15" t="inlineStr">
        <is>
          <t>Snacks &amp; Nimko</t>
        </is>
      </c>
      <c r="D651" s="15" t="inlineStr">
        <is>
          <t>Tastoo</t>
        </is>
      </c>
      <c r="E651" s="18" t="n">
        <v>8</v>
      </c>
      <c r="F651" s="18" t="n">
        <v>2</v>
      </c>
      <c r="G651" s="18">
        <f>F651-E651</f>
        <v/>
      </c>
      <c r="H651" s="29" t="n">
        <v>71</v>
      </c>
      <c r="I651" s="18">
        <f>E651*H651</f>
        <v/>
      </c>
      <c r="J651" s="18">
        <f>F651*H651</f>
        <v/>
      </c>
      <c r="K651" s="28">
        <f>IF(H651&lt;=0, "Out of Stock", IF(H651&lt;=5, "Low Stock", "In Stock"))</f>
        <v/>
      </c>
      <c r="L651" s="28" t="inlineStr">
        <is>
          <t>2025-08-03 03:42 PM</t>
        </is>
      </c>
    </row>
    <row r="652">
      <c r="A652" s="26" t="inlineStr">
        <is>
          <t>726529986020</t>
        </is>
      </c>
      <c r="B652" s="10" t="inlineStr">
        <is>
          <t>TASTOO NIMKO DAL MOTH</t>
        </is>
      </c>
      <c r="C652" s="10" t="inlineStr">
        <is>
          <t>Snacks &amp; Nimko</t>
        </is>
      </c>
      <c r="D652" s="10" t="inlineStr">
        <is>
          <t>Tastoo</t>
        </is>
      </c>
      <c r="E652" s="13" t="n">
        <v>17</v>
      </c>
      <c r="F652" s="13" t="n">
        <v>20</v>
      </c>
      <c r="G652" s="13">
        <f>F652-E652</f>
        <v/>
      </c>
      <c r="H652" s="27" t="n">
        <v>54</v>
      </c>
      <c r="I652" s="13">
        <f>E652*H652</f>
        <v/>
      </c>
      <c r="J652" s="13">
        <f>F652*H652</f>
        <v/>
      </c>
      <c r="K652" s="26">
        <f>IF(H652&lt;=0, "Out of Stock", IF(H652&lt;=5, "Low Stock", "In Stock"))</f>
        <v/>
      </c>
      <c r="L652" s="26" t="inlineStr">
        <is>
          <t>2025-08-03 04:27 PM</t>
        </is>
      </c>
    </row>
    <row r="653">
      <c r="A653" s="28" t="inlineStr">
        <is>
          <t>9344000076759</t>
        </is>
      </c>
      <c r="B653" s="15" t="inlineStr">
        <is>
          <t>TASTOO CHATPATTI RS 20</t>
        </is>
      </c>
      <c r="C653" s="15" t="inlineStr">
        <is>
          <t>Snacks &amp; Nimko</t>
        </is>
      </c>
      <c r="D653" s="15" t="inlineStr">
        <is>
          <t>Tatsoo</t>
        </is>
      </c>
      <c r="E653" s="18" t="n">
        <v>16</v>
      </c>
      <c r="F653" s="18" t="n">
        <v>20</v>
      </c>
      <c r="G653" s="18">
        <f>F653-E653</f>
        <v/>
      </c>
      <c r="H653" s="29" t="n">
        <v>35</v>
      </c>
      <c r="I653" s="18">
        <f>E653*H653</f>
        <v/>
      </c>
      <c r="J653" s="18">
        <f>F653*H653</f>
        <v/>
      </c>
      <c r="K653" s="28">
        <f>IF(H653&lt;=0, "Out of Stock", IF(H653&lt;=5, "Low Stock", "In Stock"))</f>
        <v/>
      </c>
      <c r="L653" s="28" t="inlineStr">
        <is>
          <t>2025-08-03 02:47 PM</t>
        </is>
      </c>
    </row>
    <row r="654">
      <c r="A654" s="26" t="inlineStr">
        <is>
          <t>PROD-20250718-233731-NEW</t>
        </is>
      </c>
      <c r="B654" s="10" t="inlineStr">
        <is>
          <t>SOPDYEE</t>
        </is>
      </c>
      <c r="C654" s="10" t="inlineStr">
        <is>
          <t>Sopdyee</t>
        </is>
      </c>
      <c r="D654" s="10" t="inlineStr">
        <is>
          <t>Sopdyee</t>
        </is>
      </c>
      <c r="E654" s="13" t="n">
        <v>80</v>
      </c>
      <c r="F654" s="13" t="n">
        <v>120</v>
      </c>
      <c r="G654" s="13">
        <f>F654-E654</f>
        <v/>
      </c>
      <c r="H654" s="27" t="n">
        <v>12</v>
      </c>
      <c r="I654" s="13">
        <f>E654*H654</f>
        <v/>
      </c>
      <c r="J654" s="13">
        <f>F654*H654</f>
        <v/>
      </c>
      <c r="K654" s="26">
        <f>IF(H654&lt;=0, "Out of Stock", IF(H654&lt;=5, "Low Stock", "In Stock"))</f>
        <v/>
      </c>
      <c r="L654" s="26" t="inlineStr">
        <is>
          <t>2025-07-18 06:38 PM</t>
        </is>
      </c>
    </row>
    <row r="655">
      <c r="A655" s="28" t="inlineStr">
        <is>
          <t>PROD-20250718-234113-NEW</t>
        </is>
      </c>
      <c r="B655" s="15" t="inlineStr">
        <is>
          <t>STAR SOPDYEE</t>
        </is>
      </c>
      <c r="C655" s="15" t="inlineStr">
        <is>
          <t>Sopdyee</t>
        </is>
      </c>
      <c r="D655" s="15" t="inlineStr">
        <is>
          <t>Sopdyee</t>
        </is>
      </c>
      <c r="E655" s="18" t="n">
        <v>100</v>
      </c>
      <c r="F655" s="18" t="n">
        <v>150</v>
      </c>
      <c r="G655" s="18">
        <f>F655-E655</f>
        <v/>
      </c>
      <c r="H655" s="29" t="n">
        <v>12</v>
      </c>
      <c r="I655" s="18">
        <f>E655*H655</f>
        <v/>
      </c>
      <c r="J655" s="18">
        <f>F655*H655</f>
        <v/>
      </c>
      <c r="K655" s="28">
        <f>IF(H655&lt;=0, "Out of Stock", IF(H655&lt;=5, "Low Stock", "In Stock"))</f>
        <v/>
      </c>
      <c r="L655" s="28" t="inlineStr">
        <is>
          <t>2025-07-18 06:42 PM</t>
        </is>
      </c>
    </row>
    <row r="656">
      <c r="A656" s="26" t="inlineStr">
        <is>
          <t>6280541402509</t>
        </is>
      </c>
      <c r="B656" s="10" t="inlineStr">
        <is>
          <t>SOYA SAUCE KEY BRAND</t>
        </is>
      </c>
      <c r="C656" s="10" t="inlineStr">
        <is>
          <t>Soya</t>
        </is>
      </c>
      <c r="D656" s="10" t="inlineStr">
        <is>
          <t>Soya</t>
        </is>
      </c>
      <c r="E656" s="13" t="n">
        <v>150</v>
      </c>
      <c r="F656" s="13" t="n">
        <v>200</v>
      </c>
      <c r="G656" s="13">
        <f>F656-E656</f>
        <v/>
      </c>
      <c r="H656" s="27" t="n">
        <v>10</v>
      </c>
      <c r="I656" s="13">
        <f>E656*H656</f>
        <v/>
      </c>
      <c r="J656" s="13">
        <f>F656*H656</f>
        <v/>
      </c>
      <c r="K656" s="26">
        <f>IF(H656&lt;=0, "Out of Stock", IF(H656&lt;=5, "Low Stock", "In Stock"))</f>
        <v/>
      </c>
      <c r="L656" s="26" t="inlineStr">
        <is>
          <t>2025-07-17 08:39 AM</t>
        </is>
      </c>
    </row>
    <row r="657">
      <c r="A657" s="28" t="inlineStr">
        <is>
          <t>6260756700263</t>
        </is>
      </c>
      <c r="B657" s="15" t="inlineStr">
        <is>
          <t>AZAR SPAGHETTI 500GM</t>
        </is>
      </c>
      <c r="C657" s="15" t="inlineStr">
        <is>
          <t>Spaghetti</t>
        </is>
      </c>
      <c r="D657" s="15" t="inlineStr">
        <is>
          <t>Spaghetti</t>
        </is>
      </c>
      <c r="E657" s="18" t="n">
        <v>150</v>
      </c>
      <c r="F657" s="18" t="n">
        <v>180</v>
      </c>
      <c r="G657" s="18">
        <f>F657-E657</f>
        <v/>
      </c>
      <c r="H657" s="29" t="n">
        <v>51</v>
      </c>
      <c r="I657" s="18">
        <f>E657*H657</f>
        <v/>
      </c>
      <c r="J657" s="18">
        <f>F657*H657</f>
        <v/>
      </c>
      <c r="K657" s="28">
        <f>IF(H657&lt;=0, "Out of Stock", IF(H657&lt;=5, "Low Stock", "In Stock"))</f>
        <v/>
      </c>
      <c r="L657" s="28" t="inlineStr">
        <is>
          <t>2025-07-17 07:51 AM</t>
        </is>
      </c>
    </row>
    <row r="658">
      <c r="A658" s="26" t="inlineStr">
        <is>
          <t>736211017475</t>
        </is>
      </c>
      <c r="B658" s="10" t="inlineStr">
        <is>
          <t>BLACK COBRA SHOE SPONGE</t>
        </is>
      </c>
      <c r="C658" s="10" t="inlineStr">
        <is>
          <t>Sponge</t>
        </is>
      </c>
      <c r="D658" s="10" t="inlineStr">
        <is>
          <t>Sponge</t>
        </is>
      </c>
      <c r="E658" s="13" t="n">
        <v>125</v>
      </c>
      <c r="F658" s="13" t="n">
        <v>160</v>
      </c>
      <c r="G658" s="13">
        <f>F658-E658</f>
        <v/>
      </c>
      <c r="H658" s="27" t="n">
        <v>12</v>
      </c>
      <c r="I658" s="13">
        <f>E658*H658</f>
        <v/>
      </c>
      <c r="J658" s="13">
        <f>F658*H658</f>
        <v/>
      </c>
      <c r="K658" s="26">
        <f>IF(H658&lt;=0, "Out of Stock", IF(H658&lt;=5, "Low Stock", "In Stock"))</f>
        <v/>
      </c>
      <c r="L658" s="26" t="inlineStr">
        <is>
          <t>2025-07-17 09:12 AM</t>
        </is>
      </c>
    </row>
    <row r="659">
      <c r="A659" s="28" t="inlineStr">
        <is>
          <t>727785031035</t>
        </is>
      </c>
      <c r="B659" s="15" t="inlineStr">
        <is>
          <t>KOOCHI SPONGE WITH SCOURER</t>
        </is>
      </c>
      <c r="C659" s="15" t="inlineStr">
        <is>
          <t>Sponge</t>
        </is>
      </c>
      <c r="D659" s="15" t="inlineStr">
        <is>
          <t>Sponge</t>
        </is>
      </c>
      <c r="E659" s="18" t="n">
        <v>30</v>
      </c>
      <c r="F659" s="18" t="n">
        <v>50</v>
      </c>
      <c r="G659" s="18">
        <f>F659-E659</f>
        <v/>
      </c>
      <c r="H659" s="29" t="n">
        <v>113</v>
      </c>
      <c r="I659" s="18">
        <f>E659*H659</f>
        <v/>
      </c>
      <c r="J659" s="18">
        <f>F659*H659</f>
        <v/>
      </c>
      <c r="K659" s="28">
        <f>IF(H659&lt;=0, "Out of Stock", IF(H659&lt;=5, "Low Stock", "In Stock"))</f>
        <v/>
      </c>
      <c r="L659" s="28" t="inlineStr">
        <is>
          <t>2025-07-18 04:31 PM</t>
        </is>
      </c>
    </row>
    <row r="660">
      <c r="A660" s="26" t="inlineStr">
        <is>
          <t>8964002686377</t>
        </is>
      </c>
      <c r="B660" s="10" t="inlineStr">
        <is>
          <t>MORTEIN SPRAY 2 IN 1</t>
        </is>
      </c>
      <c r="C660" s="10" t="inlineStr">
        <is>
          <t>Spray</t>
        </is>
      </c>
      <c r="D660" s="10" t="inlineStr">
        <is>
          <t>Spray</t>
        </is>
      </c>
      <c r="E660" s="13" t="n">
        <v>440</v>
      </c>
      <c r="F660" s="13" t="n">
        <v>530</v>
      </c>
      <c r="G660" s="13">
        <f>F660-E660</f>
        <v/>
      </c>
      <c r="H660" s="27" t="n">
        <v>23</v>
      </c>
      <c r="I660" s="13">
        <f>E660*H660</f>
        <v/>
      </c>
      <c r="J660" s="13">
        <f>F660*H660</f>
        <v/>
      </c>
      <c r="K660" s="26">
        <f>IF(H660&lt;=0, "Out of Stock", IF(H660&lt;=5, "Low Stock", "In Stock"))</f>
        <v/>
      </c>
      <c r="L660" s="26" t="inlineStr">
        <is>
          <t>2025-07-29 08:23 PM</t>
        </is>
      </c>
    </row>
    <row r="661">
      <c r="A661" s="28" t="inlineStr">
        <is>
          <t>5014200145893</t>
        </is>
      </c>
      <c r="B661" s="15" t="inlineStr">
        <is>
          <t>CHINESE SAUCE</t>
        </is>
      </c>
      <c r="C661" s="15" t="inlineStr">
        <is>
          <t>Ssauce</t>
        </is>
      </c>
      <c r="D661" s="15" t="inlineStr">
        <is>
          <t>Ssauce</t>
        </is>
      </c>
      <c r="E661" s="18" t="n">
        <v>160</v>
      </c>
      <c r="F661" s="18" t="n">
        <v>250</v>
      </c>
      <c r="G661" s="18">
        <f>F661-E661</f>
        <v/>
      </c>
      <c r="H661" s="29" t="n">
        <v>5</v>
      </c>
      <c r="I661" s="18">
        <f>E661*H661</f>
        <v/>
      </c>
      <c r="J661" s="18">
        <f>F661*H661</f>
        <v/>
      </c>
      <c r="K661" s="28">
        <f>IF(H661&lt;=0, "Out of Stock", IF(H661&lt;=5, "Low Stock", "In Stock"))</f>
        <v/>
      </c>
      <c r="L661" s="28" t="inlineStr">
        <is>
          <t>2025-07-17 09:05 AM</t>
        </is>
      </c>
    </row>
    <row r="662">
      <c r="A662" s="26" t="inlineStr">
        <is>
          <t>9780201672152</t>
        </is>
      </c>
      <c r="B662" s="10" t="inlineStr">
        <is>
          <t>STAPLES TICK N0.10</t>
        </is>
      </c>
      <c r="C662" s="10" t="inlineStr">
        <is>
          <t>Sstaples</t>
        </is>
      </c>
      <c r="D662" s="10" t="inlineStr">
        <is>
          <t>Sstaples</t>
        </is>
      </c>
      <c r="E662" s="13" t="n">
        <v>30</v>
      </c>
      <c r="F662" s="13" t="n">
        <v>50</v>
      </c>
      <c r="G662" s="13">
        <f>F662-E662</f>
        <v/>
      </c>
      <c r="H662" s="27" t="n">
        <v>10</v>
      </c>
      <c r="I662" s="13">
        <f>E662*H662</f>
        <v/>
      </c>
      <c r="J662" s="13">
        <f>F662*H662</f>
        <v/>
      </c>
      <c r="K662" s="26">
        <f>IF(H662&lt;=0, "Out of Stock", IF(H662&lt;=5, "Low Stock", "In Stock"))</f>
        <v/>
      </c>
      <c r="L662" s="26" t="inlineStr">
        <is>
          <t>2025-07-13 06:05 PM</t>
        </is>
      </c>
    </row>
    <row r="663">
      <c r="A663" s="28" t="inlineStr">
        <is>
          <t>1234567891286</t>
        </is>
      </c>
      <c r="B663" s="15" t="inlineStr">
        <is>
          <t>RAPID SWEEP STAIN REMOVER</t>
        </is>
      </c>
      <c r="C663" s="15" t="inlineStr">
        <is>
          <t>Stain Remover</t>
        </is>
      </c>
      <c r="D663" s="15" t="inlineStr">
        <is>
          <t>Stain Remover</t>
        </is>
      </c>
      <c r="E663" s="18" t="n">
        <v>97.69</v>
      </c>
      <c r="F663" s="18" t="n">
        <v>170</v>
      </c>
      <c r="G663" s="18">
        <f>F663-E663</f>
        <v/>
      </c>
      <c r="H663" s="29" t="n">
        <v>73</v>
      </c>
      <c r="I663" s="18">
        <f>E663*H663</f>
        <v/>
      </c>
      <c r="J663" s="18">
        <f>F663*H663</f>
        <v/>
      </c>
      <c r="K663" s="28">
        <f>IF(H663&lt;=0, "Out of Stock", IF(H663&lt;=5, "Low Stock", "In Stock"))</f>
        <v/>
      </c>
      <c r="L663" s="28" t="inlineStr">
        <is>
          <t>2025-07-14 06:22 PM</t>
        </is>
      </c>
    </row>
    <row r="664">
      <c r="A664" s="26" t="inlineStr">
        <is>
          <t>9231650099002</t>
        </is>
      </c>
      <c r="B664" s="10" t="inlineStr">
        <is>
          <t>RAPID SWEEP STAIN REMOVER 1000</t>
        </is>
      </c>
      <c r="C664" s="10" t="inlineStr">
        <is>
          <t>Stain Remover</t>
        </is>
      </c>
      <c r="D664" s="10" t="inlineStr">
        <is>
          <t>Stain Remover</t>
        </is>
      </c>
      <c r="E664" s="13" t="n">
        <v>171.83</v>
      </c>
      <c r="F664" s="13" t="n">
        <v>280</v>
      </c>
      <c r="G664" s="13">
        <f>F664-E664</f>
        <v/>
      </c>
      <c r="H664" s="27" t="n">
        <v>43</v>
      </c>
      <c r="I664" s="13">
        <f>E664*H664</f>
        <v/>
      </c>
      <c r="J664" s="13">
        <f>F664*H664</f>
        <v/>
      </c>
      <c r="K664" s="26">
        <f>IF(H664&lt;=0, "Out of Stock", IF(H664&lt;=5, "Low Stock", "In Stock"))</f>
        <v/>
      </c>
      <c r="L664" s="26" t="inlineStr">
        <is>
          <t>2025-07-14 06:24 PM</t>
        </is>
      </c>
    </row>
    <row r="665">
      <c r="A665" s="28" t="inlineStr">
        <is>
          <t>9780201679137</t>
        </is>
      </c>
      <c r="B665" s="15" t="inlineStr">
        <is>
          <t>STAPLES TICK24-6</t>
        </is>
      </c>
      <c r="C665" s="15" t="inlineStr">
        <is>
          <t>Staples</t>
        </is>
      </c>
      <c r="D665" s="15" t="inlineStr">
        <is>
          <t>Staples</t>
        </is>
      </c>
      <c r="E665" s="18" t="n">
        <v>50</v>
      </c>
      <c r="F665" s="18" t="n">
        <v>70</v>
      </c>
      <c r="G665" s="18">
        <f>F665-E665</f>
        <v/>
      </c>
      <c r="H665" s="29" t="n">
        <v>9</v>
      </c>
      <c r="I665" s="18">
        <f>E665*H665</f>
        <v/>
      </c>
      <c r="J665" s="18">
        <f>F665*H665</f>
        <v/>
      </c>
      <c r="K665" s="28">
        <f>IF(H665&lt;=0, "Out of Stock", IF(H665&lt;=5, "Low Stock", "In Stock"))</f>
        <v/>
      </c>
      <c r="L665" s="28" t="inlineStr">
        <is>
          <t>2025-07-13 06:04 PM</t>
        </is>
      </c>
    </row>
    <row r="666">
      <c r="A666" s="26" t="inlineStr">
        <is>
          <t>ASSET-20250715-174007</t>
        </is>
      </c>
      <c r="B666" s="10" t="inlineStr">
        <is>
          <t>DOUBLE DOOR FRIDGE CARAVELL</t>
        </is>
      </c>
      <c r="C666" s="10" t="inlineStr">
        <is>
          <t>Store Assets &amp; Equipment</t>
        </is>
      </c>
      <c r="D666" s="10" t="inlineStr">
        <is>
          <t>Asset</t>
        </is>
      </c>
      <c r="E666" s="13" t="n">
        <v>220000</v>
      </c>
      <c r="F666" s="13" t="n">
        <v>230000</v>
      </c>
      <c r="G666" s="13">
        <f>F666-E666</f>
        <v/>
      </c>
      <c r="H666" s="27" t="n">
        <v>1</v>
      </c>
      <c r="I666" s="13">
        <f>E666*H666</f>
        <v/>
      </c>
      <c r="J666" s="13">
        <f>F666*H666</f>
        <v/>
      </c>
      <c r="K666" s="26">
        <f>IF(H666&lt;=0, "Out of Stock", IF(H666&lt;=5, "Low Stock", "In Stock"))</f>
        <v/>
      </c>
      <c r="L666" s="26" t="inlineStr">
        <is>
          <t>2025-07-15 12:42 PM</t>
        </is>
      </c>
    </row>
    <row r="667">
      <c r="A667" s="28" t="inlineStr">
        <is>
          <t>ASSET-20250715-174224-</t>
        </is>
      </c>
      <c r="B667" s="15" t="inlineStr">
        <is>
          <t>FRONT DESSK RACK +ALMARIAH</t>
        </is>
      </c>
      <c r="C667" s="15" t="inlineStr">
        <is>
          <t>Store Assets &amp; Equipment</t>
        </is>
      </c>
      <c r="D667" s="15" t="inlineStr">
        <is>
          <t>Asset</t>
        </is>
      </c>
      <c r="E667" s="18" t="n">
        <v>350000</v>
      </c>
      <c r="F667" s="18" t="n">
        <v>355000</v>
      </c>
      <c r="G667" s="18">
        <f>F667-E667</f>
        <v/>
      </c>
      <c r="H667" s="29" t="n">
        <v>1</v>
      </c>
      <c r="I667" s="18">
        <f>E667*H667</f>
        <v/>
      </c>
      <c r="J667" s="18">
        <f>F667*H667</f>
        <v/>
      </c>
      <c r="K667" s="28">
        <f>IF(H667&lt;=0, "Out of Stock", IF(H667&lt;=5, "Low Stock", "In Stock"))</f>
        <v/>
      </c>
      <c r="L667" s="28" t="inlineStr">
        <is>
          <t>2025-07-15 12:43 PM</t>
        </is>
      </c>
    </row>
    <row r="668">
      <c r="A668" s="26" t="inlineStr">
        <is>
          <t>PROD-20250717-202807-ASSET</t>
        </is>
      </c>
      <c r="B668" s="10" t="inlineStr">
        <is>
          <t>LAPTOP</t>
        </is>
      </c>
      <c r="C668" s="10" t="inlineStr">
        <is>
          <t>Store Assets &amp; Equipment</t>
        </is>
      </c>
      <c r="D668" s="10" t="inlineStr">
        <is>
          <t>Laptop</t>
        </is>
      </c>
      <c r="E668" s="13" t="n">
        <v>36000</v>
      </c>
      <c r="F668" s="13" t="n">
        <v>36000</v>
      </c>
      <c r="G668" s="13">
        <f>F668-E668</f>
        <v/>
      </c>
      <c r="H668" s="27" t="n">
        <v>1</v>
      </c>
      <c r="I668" s="13">
        <f>E668*H668</f>
        <v/>
      </c>
      <c r="J668" s="13">
        <f>F668*H668</f>
        <v/>
      </c>
      <c r="K668" s="26">
        <f>IF(H668&lt;=0, "Out of Stock", IF(H668&lt;=5, "Low Stock", "In Stock"))</f>
        <v/>
      </c>
      <c r="L668" s="26" t="inlineStr">
        <is>
          <t>2025-07-17 03:28 PM</t>
        </is>
      </c>
    </row>
    <row r="669">
      <c r="A669" s="28" t="inlineStr">
        <is>
          <t>PROD-20250717-202934-ASSET</t>
        </is>
      </c>
      <c r="B669" s="15" t="inlineStr">
        <is>
          <t>SCANNER</t>
        </is>
      </c>
      <c r="C669" s="15" t="inlineStr">
        <is>
          <t>Store Assets &amp; Equipment</t>
        </is>
      </c>
      <c r="D669" s="15" t="inlineStr">
        <is>
          <t>Scanner</t>
        </is>
      </c>
      <c r="E669" s="18" t="n">
        <v>10000</v>
      </c>
      <c r="F669" s="18" t="n">
        <v>10000</v>
      </c>
      <c r="G669" s="18">
        <f>F669-E669</f>
        <v/>
      </c>
      <c r="H669" s="29" t="n">
        <v>1</v>
      </c>
      <c r="I669" s="18">
        <f>E669*H669</f>
        <v/>
      </c>
      <c r="J669" s="18">
        <f>F669*H669</f>
        <v/>
      </c>
      <c r="K669" s="28">
        <f>IF(H669&lt;=0, "Out of Stock", IF(H669&lt;=5, "Low Stock", "In Stock"))</f>
        <v/>
      </c>
      <c r="L669" s="28" t="inlineStr">
        <is>
          <t>2025-07-17 03:29 PM</t>
        </is>
      </c>
    </row>
    <row r="670">
      <c r="A670" s="26" t="inlineStr">
        <is>
          <t>PROD-20250717-202857-ASSET</t>
        </is>
      </c>
      <c r="B670" s="10" t="inlineStr">
        <is>
          <t>THERMAL PRINTER</t>
        </is>
      </c>
      <c r="C670" s="10" t="inlineStr">
        <is>
          <t>Store Assets &amp; Equipment</t>
        </is>
      </c>
      <c r="D670" s="10" t="inlineStr">
        <is>
          <t>Thermal Printer</t>
        </is>
      </c>
      <c r="E670" s="13" t="n">
        <v>12000</v>
      </c>
      <c r="F670" s="13" t="n">
        <v>12000</v>
      </c>
      <c r="G670" s="13">
        <f>F670-E670</f>
        <v/>
      </c>
      <c r="H670" s="27" t="n">
        <v>1</v>
      </c>
      <c r="I670" s="13">
        <f>E670*H670</f>
        <v/>
      </c>
      <c r="J670" s="13">
        <f>F670*H670</f>
        <v/>
      </c>
      <c r="K670" s="26">
        <f>IF(H670&lt;=0, "Out of Stock", IF(H670&lt;=5, "Low Stock", "In Stock"))</f>
        <v/>
      </c>
      <c r="L670" s="26" t="inlineStr">
        <is>
          <t>2025-07-17 03:29 PM</t>
        </is>
      </c>
    </row>
    <row r="671">
      <c r="A671" s="28" t="inlineStr">
        <is>
          <t>PROD-20250713-TRP BIG</t>
        </is>
      </c>
      <c r="B671" s="15" t="inlineStr">
        <is>
          <t>TRANSPARNT TAPE BIG</t>
        </is>
      </c>
      <c r="C671" s="15" t="inlineStr">
        <is>
          <t>Tape</t>
        </is>
      </c>
      <c r="D671" s="15" t="inlineStr">
        <is>
          <t>Tape</t>
        </is>
      </c>
      <c r="E671" s="18" t="n">
        <v>170</v>
      </c>
      <c r="F671" s="18" t="n">
        <v>200</v>
      </c>
      <c r="G671" s="18">
        <f>F671-E671</f>
        <v/>
      </c>
      <c r="H671" s="29" t="n">
        <v>5</v>
      </c>
      <c r="I671" s="18">
        <f>E671*H671</f>
        <v/>
      </c>
      <c r="J671" s="18">
        <f>F671*H671</f>
        <v/>
      </c>
      <c r="K671" s="28">
        <f>IF(H671&lt;=0, "Out of Stock", IF(H671&lt;=5, "Low Stock", "In Stock"))</f>
        <v/>
      </c>
      <c r="L671" s="28" t="inlineStr">
        <is>
          <t>2025-07-13 06:32 PM</t>
        </is>
      </c>
    </row>
    <row r="672">
      <c r="A672" s="26" t="inlineStr">
        <is>
          <t>PROD-20250713-TRP MDL</t>
        </is>
      </c>
      <c r="B672" s="10" t="inlineStr">
        <is>
          <t>TRANSPARNT TAPE MDL</t>
        </is>
      </c>
      <c r="C672" s="10" t="inlineStr">
        <is>
          <t>Tape</t>
        </is>
      </c>
      <c r="D672" s="10" t="inlineStr">
        <is>
          <t>Tape</t>
        </is>
      </c>
      <c r="E672" s="13" t="n">
        <v>120</v>
      </c>
      <c r="F672" s="13" t="n">
        <v>150</v>
      </c>
      <c r="G672" s="13">
        <f>F672-E672</f>
        <v/>
      </c>
      <c r="H672" s="27" t="n">
        <v>5</v>
      </c>
      <c r="I672" s="13">
        <f>E672*H672</f>
        <v/>
      </c>
      <c r="J672" s="13">
        <f>F672*H672</f>
        <v/>
      </c>
      <c r="K672" s="26">
        <f>IF(H672&lt;=0, "Out of Stock", IF(H672&lt;=5, "Low Stock", "In Stock"))</f>
        <v/>
      </c>
      <c r="L672" s="26" t="inlineStr">
        <is>
          <t>2025-07-13 06:31 PM</t>
        </is>
      </c>
    </row>
    <row r="673">
      <c r="A673" s="28" t="inlineStr">
        <is>
          <t>PROD-20250713-TRP TAPE</t>
        </is>
      </c>
      <c r="B673" s="15" t="inlineStr">
        <is>
          <t>TRANSPARNT TAPE SML</t>
        </is>
      </c>
      <c r="C673" s="15" t="inlineStr">
        <is>
          <t>Tape</t>
        </is>
      </c>
      <c r="D673" s="15" t="inlineStr">
        <is>
          <t>Tape</t>
        </is>
      </c>
      <c r="E673" s="18" t="n">
        <v>60</v>
      </c>
      <c r="F673" s="18" t="n">
        <v>80</v>
      </c>
      <c r="G673" s="18">
        <f>F673-E673</f>
        <v/>
      </c>
      <c r="H673" s="29" t="n">
        <v>6</v>
      </c>
      <c r="I673" s="18">
        <f>E673*H673</f>
        <v/>
      </c>
      <c r="J673" s="18">
        <f>F673*H673</f>
        <v/>
      </c>
      <c r="K673" s="28">
        <f>IF(H673&lt;=0, "Out of Stock", IF(H673&lt;=5, "Low Stock", "In Stock"))</f>
        <v/>
      </c>
      <c r="L673" s="28" t="inlineStr">
        <is>
          <t>2025-07-13 06:30 PM</t>
        </is>
      </c>
    </row>
    <row r="674">
      <c r="A674" s="26" t="inlineStr">
        <is>
          <t>8886300016116</t>
        </is>
      </c>
      <c r="B674" s="10" t="inlineStr">
        <is>
          <t>KLASSNO COFFEE</t>
        </is>
      </c>
      <c r="C674" s="10" t="inlineStr">
        <is>
          <t>Tea &amp; Coffee</t>
        </is>
      </c>
      <c r="D674" s="10" t="inlineStr">
        <is>
          <t>Coffee</t>
        </is>
      </c>
      <c r="E674" s="13" t="n">
        <v>20</v>
      </c>
      <c r="F674" s="13" t="n">
        <v>30</v>
      </c>
      <c r="G674" s="13">
        <f>F674-E674</f>
        <v/>
      </c>
      <c r="H674" s="27" t="n">
        <v>222</v>
      </c>
      <c r="I674" s="13">
        <f>E674*H674</f>
        <v/>
      </c>
      <c r="J674" s="13">
        <f>F674*H674</f>
        <v/>
      </c>
      <c r="K674" s="26">
        <f>IF(H674&lt;=0, "Out of Stock", IF(H674&lt;=5, "Low Stock", "In Stock"))</f>
        <v/>
      </c>
      <c r="L674" s="26" t="inlineStr">
        <is>
          <t>2025-07-13 08:39 AM</t>
        </is>
      </c>
    </row>
    <row r="675">
      <c r="A675" s="28" t="inlineStr">
        <is>
          <t>46204837</t>
        </is>
      </c>
      <c r="B675" s="15" t="inlineStr">
        <is>
          <t>Nescafe Gold 75r</t>
        </is>
      </c>
      <c r="C675" s="15" t="inlineStr">
        <is>
          <t>Tea &amp; Coffee</t>
        </is>
      </c>
      <c r="D675" s="15" t="inlineStr">
        <is>
          <t>Coffy</t>
        </is>
      </c>
      <c r="E675" s="18" t="n">
        <v>900</v>
      </c>
      <c r="F675" s="18" t="n">
        <v>1100</v>
      </c>
      <c r="G675" s="18">
        <f>F675-E675</f>
        <v/>
      </c>
      <c r="H675" s="29" t="n">
        <v>2</v>
      </c>
      <c r="I675" s="18">
        <f>E675*H675</f>
        <v/>
      </c>
      <c r="J675" s="18">
        <f>F675*H675</f>
        <v/>
      </c>
      <c r="K675" s="28">
        <f>IF(H675&lt;=0, "Out of Stock", IF(H675&lt;=5, "Low Stock", "In Stock"))</f>
        <v/>
      </c>
      <c r="L675" s="28" t="inlineStr">
        <is>
          <t>2025-07-12 05:54 PM</t>
        </is>
      </c>
    </row>
    <row r="676">
      <c r="A676" s="26" t="inlineStr">
        <is>
          <t>46204813</t>
        </is>
      </c>
      <c r="B676" s="10" t="inlineStr">
        <is>
          <t>Nescafe Gold 95r</t>
        </is>
      </c>
      <c r="C676" s="10" t="inlineStr">
        <is>
          <t>Tea &amp; Coffee</t>
        </is>
      </c>
      <c r="D676" s="10" t="inlineStr">
        <is>
          <t>Coffy</t>
        </is>
      </c>
      <c r="E676" s="13" t="n">
        <v>1250</v>
      </c>
      <c r="F676" s="13" t="n">
        <v>1600</v>
      </c>
      <c r="G676" s="13">
        <f>F676-E676</f>
        <v/>
      </c>
      <c r="H676" s="27" t="n">
        <v>16</v>
      </c>
      <c r="I676" s="13">
        <f>E676*H676</f>
        <v/>
      </c>
      <c r="J676" s="13">
        <f>F676*H676</f>
        <v/>
      </c>
      <c r="K676" s="26">
        <f>IF(H676&lt;=0, "Out of Stock", IF(H676&lt;=5, "Low Stock", "In Stock"))</f>
        <v/>
      </c>
      <c r="L676" s="26" t="inlineStr">
        <is>
          <t>2025-07-12 05:53 PM</t>
        </is>
      </c>
    </row>
    <row r="677">
      <c r="A677" s="28" t="inlineStr">
        <is>
          <t>815096000397</t>
        </is>
      </c>
      <c r="B677" s="15" t="inlineStr">
        <is>
          <t>GREEN TEA ELAISHI</t>
        </is>
      </c>
      <c r="C677" s="15" t="inlineStr">
        <is>
          <t>Tea &amp; Coffee</t>
        </is>
      </c>
      <c r="D677" s="15" t="inlineStr">
        <is>
          <t>Green Tea</t>
        </is>
      </c>
      <c r="E677" s="18" t="n">
        <v>220</v>
      </c>
      <c r="F677" s="18" t="n">
        <v>250</v>
      </c>
      <c r="G677" s="18">
        <f>F677-E677</f>
        <v/>
      </c>
      <c r="H677" s="29" t="n">
        <v>1</v>
      </c>
      <c r="I677" s="18">
        <f>E677*H677</f>
        <v/>
      </c>
      <c r="J677" s="18">
        <f>F677*H677</f>
        <v/>
      </c>
      <c r="K677" s="28">
        <f>IF(H677&lt;=0, "Out of Stock", IF(H677&lt;=5, "Low Stock", "In Stock"))</f>
        <v/>
      </c>
      <c r="L677" s="28" t="inlineStr">
        <is>
          <t>2025-07-18 07:24 PM</t>
        </is>
      </c>
    </row>
    <row r="678">
      <c r="A678" s="26" t="inlineStr">
        <is>
          <t>815096000342</t>
        </is>
      </c>
      <c r="B678" s="10" t="inlineStr">
        <is>
          <t>GREEN TEA JASMINE 30 TEA BAGS</t>
        </is>
      </c>
      <c r="C678" s="10" t="inlineStr">
        <is>
          <t>Tea &amp; Coffee</t>
        </is>
      </c>
      <c r="D678" s="10" t="inlineStr">
        <is>
          <t>Green Tea</t>
        </is>
      </c>
      <c r="E678" s="13" t="n">
        <v>220</v>
      </c>
      <c r="F678" s="13" t="n">
        <v>250</v>
      </c>
      <c r="G678" s="13">
        <f>F678-E678</f>
        <v/>
      </c>
      <c r="H678" s="27" t="n">
        <v>4</v>
      </c>
      <c r="I678" s="13">
        <f>E678*H678</f>
        <v/>
      </c>
      <c r="J678" s="13">
        <f>F678*H678</f>
        <v/>
      </c>
      <c r="K678" s="26">
        <f>IF(H678&lt;=0, "Out of Stock", IF(H678&lt;=5, "Low Stock", "In Stock"))</f>
        <v/>
      </c>
      <c r="L678" s="26" t="inlineStr">
        <is>
          <t>2025-07-18 07:15 PM</t>
        </is>
      </c>
    </row>
    <row r="679">
      <c r="A679" s="28" t="inlineStr">
        <is>
          <t>815096002155</t>
        </is>
      </c>
      <c r="B679" s="15" t="inlineStr">
        <is>
          <t>GREEN TEA TROPICAL PEACH</t>
        </is>
      </c>
      <c r="C679" s="15" t="inlineStr">
        <is>
          <t>Tea &amp; Coffee</t>
        </is>
      </c>
      <c r="D679" s="15" t="inlineStr">
        <is>
          <t>Green Tea</t>
        </is>
      </c>
      <c r="E679" s="18" t="n">
        <v>220</v>
      </c>
      <c r="F679" s="18" t="n">
        <v>250</v>
      </c>
      <c r="G679" s="18">
        <f>F679-E679</f>
        <v/>
      </c>
      <c r="H679" s="29" t="n">
        <v>1</v>
      </c>
      <c r="I679" s="18">
        <f>E679*H679</f>
        <v/>
      </c>
      <c r="J679" s="18">
        <f>F679*H679</f>
        <v/>
      </c>
      <c r="K679" s="28">
        <f>IF(H679&lt;=0, "Out of Stock", IF(H679&lt;=5, "Low Stock", "In Stock"))</f>
        <v/>
      </c>
      <c r="L679" s="28" t="inlineStr">
        <is>
          <t>2025-07-18 07:23 PM</t>
        </is>
      </c>
    </row>
    <row r="680">
      <c r="A680" s="26" t="inlineStr">
        <is>
          <t>8961103602350</t>
        </is>
      </c>
      <c r="B680" s="10" t="inlineStr">
        <is>
          <t>TAPAL GREEN TEA LEMON 30 TEA BA</t>
        </is>
      </c>
      <c r="C680" s="10" t="inlineStr">
        <is>
          <t>Tea &amp; Coffee</t>
        </is>
      </c>
      <c r="D680" s="10" t="inlineStr">
        <is>
          <t>Green Tea</t>
        </is>
      </c>
      <c r="E680" s="13" t="n">
        <v>220</v>
      </c>
      <c r="F680" s="13" t="n">
        <v>250</v>
      </c>
      <c r="G680" s="13">
        <f>F680-E680</f>
        <v/>
      </c>
      <c r="H680" s="27" t="n">
        <v>6</v>
      </c>
      <c r="I680" s="13">
        <f>E680*H680</f>
        <v/>
      </c>
      <c r="J680" s="13">
        <f>F680*H680</f>
        <v/>
      </c>
      <c r="K680" s="26">
        <f>IF(H680&lt;=0, "Out of Stock", IF(H680&lt;=5, "Low Stock", "In Stock"))</f>
        <v/>
      </c>
      <c r="L680" s="26" t="inlineStr">
        <is>
          <t>2025-07-18 07:13 PM</t>
        </is>
      </c>
    </row>
    <row r="681">
      <c r="A681" s="28" t="inlineStr">
        <is>
          <t>8964001086871</t>
        </is>
      </c>
      <c r="B681" s="15" t="inlineStr">
        <is>
          <t>BETTANI 45 GRAM</t>
        </is>
      </c>
      <c r="C681" s="15" t="inlineStr">
        <is>
          <t>Tea &amp; Coffee</t>
        </is>
      </c>
      <c r="D681" s="15" t="inlineStr">
        <is>
          <t>Tea</t>
        </is>
      </c>
      <c r="E681" s="18" t="n">
        <v>80</v>
      </c>
      <c r="F681" s="18" t="n">
        <v>100</v>
      </c>
      <c r="G681" s="18">
        <f>F681-E681</f>
        <v/>
      </c>
      <c r="H681" s="29" t="n">
        <v>3</v>
      </c>
      <c r="I681" s="18">
        <f>E681*H681</f>
        <v/>
      </c>
      <c r="J681" s="18">
        <f>F681*H681</f>
        <v/>
      </c>
      <c r="K681" s="28">
        <f>IF(H681&lt;=0, "Out of Stock", IF(H681&lt;=5, "Low Stock", "In Stock"))</f>
        <v/>
      </c>
      <c r="L681" s="28" t="inlineStr">
        <is>
          <t>2025-07-25 07:30 PM</t>
        </is>
      </c>
    </row>
    <row r="682">
      <c r="A682" s="26" t="inlineStr">
        <is>
          <t>8964001086864</t>
        </is>
      </c>
      <c r="B682" s="10" t="inlineStr">
        <is>
          <t>BETTANI TEA 14G</t>
        </is>
      </c>
      <c r="C682" s="10" t="inlineStr">
        <is>
          <t>Tea &amp; Coffee</t>
        </is>
      </c>
      <c r="D682" s="10" t="inlineStr">
        <is>
          <t>Tea</t>
        </is>
      </c>
      <c r="E682" s="13" t="n">
        <v>27</v>
      </c>
      <c r="F682" s="13" t="n">
        <v>30</v>
      </c>
      <c r="G682" s="13">
        <f>F682-E682</f>
        <v/>
      </c>
      <c r="H682" s="27" t="n">
        <v>4</v>
      </c>
      <c r="I682" s="13">
        <f>E682*H682</f>
        <v/>
      </c>
      <c r="J682" s="13">
        <f>F682*H682</f>
        <v/>
      </c>
      <c r="K682" s="26">
        <f>IF(H682&lt;=0, "Out of Stock", IF(H682&lt;=5, "Low Stock", "In Stock"))</f>
        <v/>
      </c>
      <c r="L682" s="26" t="inlineStr">
        <is>
          <t>2025-07-17 04:12 PM</t>
        </is>
      </c>
    </row>
    <row r="683">
      <c r="A683" s="28" t="inlineStr">
        <is>
          <t>8964003940072</t>
        </is>
      </c>
      <c r="B683" s="15" t="inlineStr">
        <is>
          <t>BETTANI TEA 170G</t>
        </is>
      </c>
      <c r="C683" s="15" t="inlineStr">
        <is>
          <t>Tea &amp; Coffee</t>
        </is>
      </c>
      <c r="D683" s="15" t="inlineStr">
        <is>
          <t>Tea</t>
        </is>
      </c>
      <c r="E683" s="18" t="n">
        <v>342</v>
      </c>
      <c r="F683" s="18" t="n">
        <v>380</v>
      </c>
      <c r="G683" s="18">
        <f>F683-E683</f>
        <v/>
      </c>
      <c r="H683" s="29" t="n">
        <v>3</v>
      </c>
      <c r="I683" s="18">
        <f>E683*H683</f>
        <v/>
      </c>
      <c r="J683" s="18">
        <f>F683*H683</f>
        <v/>
      </c>
      <c r="K683" s="28">
        <f>IF(H683&lt;=0, "Out of Stock", IF(H683&lt;=5, "Low Stock", "In Stock"))</f>
        <v/>
      </c>
      <c r="L683" s="28" t="inlineStr">
        <is>
          <t>2025-07-17 03:38 PM</t>
        </is>
      </c>
    </row>
    <row r="684">
      <c r="A684" s="26" t="inlineStr">
        <is>
          <t>8964003940089</t>
        </is>
      </c>
      <c r="B684" s="10" t="inlineStr">
        <is>
          <t>BETTANI TEA 25G</t>
        </is>
      </c>
      <c r="C684" s="10" t="inlineStr">
        <is>
          <t>Tea &amp; Coffee</t>
        </is>
      </c>
      <c r="D684" s="10" t="inlineStr">
        <is>
          <t>Tea</t>
        </is>
      </c>
      <c r="E684" s="13" t="n">
        <v>41</v>
      </c>
      <c r="F684" s="13" t="n">
        <v>50</v>
      </c>
      <c r="G684" s="13">
        <f>F684-E684</f>
        <v/>
      </c>
      <c r="H684" s="27" t="n">
        <v>13</v>
      </c>
      <c r="I684" s="13">
        <f>E684*H684</f>
        <v/>
      </c>
      <c r="J684" s="13">
        <f>F684*H684</f>
        <v/>
      </c>
      <c r="K684" s="26">
        <f>IF(H684&lt;=0, "Out of Stock", IF(H684&lt;=5, "Low Stock", "In Stock"))</f>
        <v/>
      </c>
      <c r="L684" s="26" t="inlineStr">
        <is>
          <t>2025-07-17 04:13 PM</t>
        </is>
      </c>
    </row>
    <row r="685">
      <c r="A685" s="28" t="inlineStr">
        <is>
          <t>8964001086956</t>
        </is>
      </c>
      <c r="B685" s="15" t="inlineStr">
        <is>
          <t>BETTANI TEA R.10</t>
        </is>
      </c>
      <c r="C685" s="15" t="inlineStr">
        <is>
          <t>Tea &amp; Coffee</t>
        </is>
      </c>
      <c r="D685" s="15" t="inlineStr">
        <is>
          <t>Tea</t>
        </is>
      </c>
      <c r="E685" s="18" t="n">
        <v>8</v>
      </c>
      <c r="F685" s="18" t="n">
        <v>10</v>
      </c>
      <c r="G685" s="18">
        <f>F685-E685</f>
        <v/>
      </c>
      <c r="H685" s="29" t="n">
        <v>4</v>
      </c>
      <c r="I685" s="18">
        <f>E685*H685</f>
        <v/>
      </c>
      <c r="J685" s="18">
        <f>F685*H685</f>
        <v/>
      </c>
      <c r="K685" s="28">
        <f>IF(H685&lt;=0, "Out of Stock", IF(H685&lt;=5, "Low Stock", "In Stock"))</f>
        <v/>
      </c>
      <c r="L685" s="28" t="inlineStr">
        <is>
          <t>2025-07-24 03:36 PM</t>
        </is>
      </c>
    </row>
    <row r="686">
      <c r="A686" s="26" t="inlineStr">
        <is>
          <t>8964001086932</t>
        </is>
      </c>
      <c r="B686" s="10" t="inlineStr">
        <is>
          <t>BETTANI TEA RS.20</t>
        </is>
      </c>
      <c r="C686" s="10" t="inlineStr">
        <is>
          <t>Tea &amp; Coffee</t>
        </is>
      </c>
      <c r="D686" s="10" t="inlineStr">
        <is>
          <t>Tea</t>
        </is>
      </c>
      <c r="E686" s="13" t="n">
        <v>17</v>
      </c>
      <c r="F686" s="13" t="n">
        <v>20</v>
      </c>
      <c r="G686" s="13">
        <f>F686-E686</f>
        <v/>
      </c>
      <c r="H686" s="27" t="n">
        <v>3</v>
      </c>
      <c r="I686" s="13">
        <f>E686*H686</f>
        <v/>
      </c>
      <c r="J686" s="13">
        <f>F686*H686</f>
        <v/>
      </c>
      <c r="K686" s="26">
        <f>IF(H686&lt;=0, "Out of Stock", IF(H686&lt;=5, "Low Stock", "In Stock"))</f>
        <v/>
      </c>
      <c r="L686" s="26" t="inlineStr">
        <is>
          <t>2025-07-24 03:38 PM</t>
        </is>
      </c>
    </row>
    <row r="687">
      <c r="A687" s="28" t="inlineStr">
        <is>
          <t>PROD-20250713-BLACK TEA</t>
        </is>
      </c>
      <c r="B687" s="15" t="inlineStr">
        <is>
          <t>BLACK TEA</t>
        </is>
      </c>
      <c r="C687" s="15" t="inlineStr">
        <is>
          <t>Tea &amp; Coffee</t>
        </is>
      </c>
      <c r="D687" s="15" t="inlineStr">
        <is>
          <t>Tea</t>
        </is>
      </c>
      <c r="E687" s="18" t="n">
        <v>1400</v>
      </c>
      <c r="F687" s="18" t="n">
        <v>1800</v>
      </c>
      <c r="G687" s="18">
        <f>F687-E687</f>
        <v/>
      </c>
      <c r="H687" s="29" t="n">
        <v>8.91</v>
      </c>
      <c r="I687" s="18">
        <f>E687*H687</f>
        <v/>
      </c>
      <c r="J687" s="18">
        <f>F687*H687</f>
        <v/>
      </c>
      <c r="K687" s="28">
        <f>IF(H687&lt;=0, "Out of Stock", IF(H687&lt;=5, "Low Stock", "In Stock"))</f>
        <v/>
      </c>
      <c r="L687" s="28" t="inlineStr">
        <is>
          <t>2025-07-13 09:50 AM</t>
        </is>
      </c>
    </row>
    <row r="688">
      <c r="A688" s="26" t="inlineStr">
        <is>
          <t>PROD-20250713-145046-GREN T</t>
        </is>
      </c>
      <c r="B688" s="10" t="inlineStr">
        <is>
          <t>GREEN TEA OPN</t>
        </is>
      </c>
      <c r="C688" s="10" t="inlineStr">
        <is>
          <t>Tea &amp; Coffee</t>
        </is>
      </c>
      <c r="D688" s="10" t="inlineStr">
        <is>
          <t>Tea</t>
        </is>
      </c>
      <c r="E688" s="13" t="n">
        <v>1250</v>
      </c>
      <c r="F688" s="13" t="n">
        <v>1600</v>
      </c>
      <c r="G688" s="13">
        <f>F688-E688</f>
        <v/>
      </c>
      <c r="H688" s="27" t="n">
        <v>2</v>
      </c>
      <c r="I688" s="13">
        <f>E688*H688</f>
        <v/>
      </c>
      <c r="J688" s="13">
        <f>F688*H688</f>
        <v/>
      </c>
      <c r="K688" s="26">
        <f>IF(H688&lt;=0, "Out of Stock", IF(H688&lt;=5, "Low Stock", "In Stock"))</f>
        <v/>
      </c>
      <c r="L688" s="26" t="inlineStr">
        <is>
          <t>2025-07-13 09:51 AM</t>
        </is>
      </c>
    </row>
    <row r="689">
      <c r="A689" s="28" t="inlineStr">
        <is>
          <t>5063305008732</t>
        </is>
      </c>
      <c r="B689" s="15" t="inlineStr">
        <is>
          <t>Lipton Yellow 100g</t>
        </is>
      </c>
      <c r="C689" s="15" t="inlineStr">
        <is>
          <t>Tea &amp; Coffee</t>
        </is>
      </c>
      <c r="D689" s="15" t="inlineStr">
        <is>
          <t>Tea</t>
        </is>
      </c>
      <c r="E689" s="18" t="n">
        <v>195</v>
      </c>
      <c r="F689" s="18" t="n">
        <v>220</v>
      </c>
      <c r="G689" s="18">
        <f>F689-E689</f>
        <v/>
      </c>
      <c r="H689" s="29" t="n">
        <v>27</v>
      </c>
      <c r="I689" s="18">
        <f>E689*H689</f>
        <v/>
      </c>
      <c r="J689" s="18">
        <f>F689*H689</f>
        <v/>
      </c>
      <c r="K689" s="28">
        <f>IF(H689&lt;=0, "Out of Stock", IF(H689&lt;=5, "Low Stock", "In Stock"))</f>
        <v/>
      </c>
      <c r="L689" s="28" t="inlineStr">
        <is>
          <t>2025-07-13 08:25 AM</t>
        </is>
      </c>
    </row>
    <row r="690">
      <c r="A690" s="26" t="inlineStr">
        <is>
          <t>5063305008749</t>
        </is>
      </c>
      <c r="B690" s="10" t="inlineStr">
        <is>
          <t>Lipton Yellow 200g</t>
        </is>
      </c>
      <c r="C690" s="10" t="inlineStr">
        <is>
          <t>Tea &amp; Coffee</t>
        </is>
      </c>
      <c r="D690" s="10" t="inlineStr">
        <is>
          <t>Tea</t>
        </is>
      </c>
      <c r="E690" s="13" t="n">
        <v>360</v>
      </c>
      <c r="F690" s="13" t="n">
        <v>400</v>
      </c>
      <c r="G690" s="13">
        <f>F690-E690</f>
        <v/>
      </c>
      <c r="H690" s="27" t="n">
        <v>8</v>
      </c>
      <c r="I690" s="13">
        <f>E690*H690</f>
        <v/>
      </c>
      <c r="J690" s="13">
        <f>F690*H690</f>
        <v/>
      </c>
      <c r="K690" s="26">
        <f>IF(H690&lt;=0, "Out of Stock", IF(H690&lt;=5, "Low Stock", "In Stock"))</f>
        <v/>
      </c>
      <c r="L690" s="26" t="inlineStr">
        <is>
          <t>2025-07-13 08:26 AM</t>
        </is>
      </c>
    </row>
    <row r="691">
      <c r="A691" s="28" t="inlineStr">
        <is>
          <t>5063305008763</t>
        </is>
      </c>
      <c r="B691" s="15" t="inlineStr">
        <is>
          <t>SUPREME TEA 100G</t>
        </is>
      </c>
      <c r="C691" s="15" t="inlineStr">
        <is>
          <t>Tea &amp; Coffee</t>
        </is>
      </c>
      <c r="D691" s="15" t="inlineStr">
        <is>
          <t>Tea</t>
        </is>
      </c>
      <c r="E691" s="18" t="n">
        <v>170</v>
      </c>
      <c r="F691" s="18" t="n">
        <v>190</v>
      </c>
      <c r="G691" s="18">
        <f>F691-E691</f>
        <v/>
      </c>
      <c r="H691" s="29" t="n">
        <v>15</v>
      </c>
      <c r="I691" s="18">
        <f>E691*H691</f>
        <v/>
      </c>
      <c r="J691" s="18">
        <f>F691*H691</f>
        <v/>
      </c>
      <c r="K691" s="28">
        <f>IF(H691&lt;=0, "Out of Stock", IF(H691&lt;=5, "Low Stock", "In Stock"))</f>
        <v/>
      </c>
      <c r="L691" s="28" t="inlineStr">
        <is>
          <t>2025-07-14 09:09 AM</t>
        </is>
      </c>
    </row>
    <row r="692">
      <c r="A692" s="26" t="inlineStr">
        <is>
          <t>8961103600530</t>
        </is>
      </c>
      <c r="B692" s="10" t="inlineStr">
        <is>
          <t>TAPAL DANEDAR 450G</t>
        </is>
      </c>
      <c r="C692" s="10" t="inlineStr">
        <is>
          <t>Tea &amp; Coffee</t>
        </is>
      </c>
      <c r="D692" s="10" t="inlineStr">
        <is>
          <t>Tea</t>
        </is>
      </c>
      <c r="E692" s="13" t="n">
        <v>830</v>
      </c>
      <c r="F692" s="13" t="n">
        <v>900</v>
      </c>
      <c r="G692" s="13">
        <f>F692-E692</f>
        <v/>
      </c>
      <c r="H692" s="27" t="n">
        <v>12</v>
      </c>
      <c r="I692" s="13">
        <f>E692*H692</f>
        <v/>
      </c>
      <c r="J692" s="13">
        <f>F692*H692</f>
        <v/>
      </c>
      <c r="K692" s="26">
        <f>IF(H692&lt;=0, "Out of Stock", IF(H692&lt;=5, "Low Stock", "In Stock"))</f>
        <v/>
      </c>
      <c r="L692" s="26" t="inlineStr">
        <is>
          <t>2025-07-15 03:57 PM</t>
        </is>
      </c>
    </row>
    <row r="693">
      <c r="A693" s="28" t="inlineStr">
        <is>
          <t>8961103600578</t>
        </is>
      </c>
      <c r="B693" s="15" t="inlineStr">
        <is>
          <t>TAPAL DANEDAR 85 G</t>
        </is>
      </c>
      <c r="C693" s="15" t="inlineStr">
        <is>
          <t>Tea &amp; Coffee</t>
        </is>
      </c>
      <c r="D693" s="15" t="inlineStr">
        <is>
          <t>Tea</t>
        </is>
      </c>
      <c r="E693" s="18" t="n">
        <v>170</v>
      </c>
      <c r="F693" s="18" t="n">
        <v>190</v>
      </c>
      <c r="G693" s="18">
        <f>F693-E693</f>
        <v/>
      </c>
      <c r="H693" s="29" t="n">
        <v>13</v>
      </c>
      <c r="I693" s="18">
        <f>E693*H693</f>
        <v/>
      </c>
      <c r="J693" s="18">
        <f>F693*H693</f>
        <v/>
      </c>
      <c r="K693" s="28">
        <f>IF(H693&lt;=0, "Out of Stock", IF(H693&lt;=5, "Low Stock", "In Stock"))</f>
        <v/>
      </c>
      <c r="L693" s="28" t="inlineStr">
        <is>
          <t>2025-07-29 09:47 AM</t>
        </is>
      </c>
    </row>
    <row r="694">
      <c r="A694" s="26" t="inlineStr">
        <is>
          <t>8961103600493</t>
        </is>
      </c>
      <c r="B694" s="10" t="inlineStr">
        <is>
          <t>TAPAL DANEDAR 900G</t>
        </is>
      </c>
      <c r="C694" s="10" t="inlineStr">
        <is>
          <t>Tea &amp; Coffee</t>
        </is>
      </c>
      <c r="D694" s="10" t="inlineStr">
        <is>
          <t>Tea</t>
        </is>
      </c>
      <c r="E694" s="13" t="n">
        <v>1660</v>
      </c>
      <c r="F694" s="13" t="n">
        <v>1800</v>
      </c>
      <c r="G694" s="13">
        <f>F694-E694</f>
        <v/>
      </c>
      <c r="H694" s="27" t="n">
        <v>1</v>
      </c>
      <c r="I694" s="13">
        <f>E694*H694</f>
        <v/>
      </c>
      <c r="J694" s="13">
        <f>F694*H694</f>
        <v/>
      </c>
      <c r="K694" s="26">
        <f>IF(H694&lt;=0, "Out of Stock", IF(H694&lt;=5, "Low Stock", "In Stock"))</f>
        <v/>
      </c>
      <c r="L694" s="26" t="inlineStr">
        <is>
          <t>2025-07-13 08:49 AM</t>
        </is>
      </c>
    </row>
    <row r="695">
      <c r="A695" s="28" t="inlineStr">
        <is>
          <t>815096000687</t>
        </is>
      </c>
      <c r="B695" s="15" t="inlineStr">
        <is>
          <t>TAPAL FAMILY MIXTURE 170GM</t>
        </is>
      </c>
      <c r="C695" s="15" t="inlineStr">
        <is>
          <t>Tea &amp; Coffee</t>
        </is>
      </c>
      <c r="D695" s="15" t="inlineStr">
        <is>
          <t>Tea</t>
        </is>
      </c>
      <c r="E695" s="18" t="n">
        <v>354</v>
      </c>
      <c r="F695" s="18" t="n">
        <v>380</v>
      </c>
      <c r="G695" s="18">
        <f>F695-E695</f>
        <v/>
      </c>
      <c r="H695" s="29" t="n">
        <v>1</v>
      </c>
      <c r="I695" s="18">
        <f>E695*H695</f>
        <v/>
      </c>
      <c r="J695" s="18">
        <f>F695*H695</f>
        <v/>
      </c>
      <c r="K695" s="28">
        <f>IF(H695&lt;=0, "Out of Stock", IF(H695&lt;=5, "Low Stock", "In Stock"))</f>
        <v/>
      </c>
      <c r="L695" s="28" t="inlineStr">
        <is>
          <t>2025-07-20 09:49 AM</t>
        </is>
      </c>
    </row>
    <row r="696">
      <c r="A696" s="26" t="inlineStr">
        <is>
          <t>815096000632</t>
        </is>
      </c>
      <c r="B696" s="10" t="inlineStr">
        <is>
          <t>TAPAL FAMILY MIXTURE 430G</t>
        </is>
      </c>
      <c r="C696" s="10" t="inlineStr">
        <is>
          <t>Tea &amp; Coffee</t>
        </is>
      </c>
      <c r="D696" s="10" t="inlineStr">
        <is>
          <t>Tea</t>
        </is>
      </c>
      <c r="E696" s="13" t="n">
        <v>845</v>
      </c>
      <c r="F696" s="13" t="n">
        <v>900</v>
      </c>
      <c r="G696" s="13">
        <f>F696-E696</f>
        <v/>
      </c>
      <c r="H696" s="27" t="n">
        <v>1</v>
      </c>
      <c r="I696" s="13">
        <f>E696*H696</f>
        <v/>
      </c>
      <c r="J696" s="13">
        <f>F696*H696</f>
        <v/>
      </c>
      <c r="K696" s="26">
        <f>IF(H696&lt;=0, "Out of Stock", IF(H696&lt;=5, "Low Stock", "In Stock"))</f>
        <v/>
      </c>
      <c r="L696" s="26" t="inlineStr">
        <is>
          <t>2025-07-13 08:46 AM</t>
        </is>
      </c>
    </row>
    <row r="697">
      <c r="A697" s="28" t="inlineStr">
        <is>
          <t>8961103600462</t>
        </is>
      </c>
      <c r="B697" s="15" t="inlineStr">
        <is>
          <t>TAPAL FAMILY MIXTURE 85 GRAM</t>
        </is>
      </c>
      <c r="C697" s="15" t="inlineStr">
        <is>
          <t>Tea &amp; Coffee</t>
        </is>
      </c>
      <c r="D697" s="15" t="inlineStr">
        <is>
          <t>Tea</t>
        </is>
      </c>
      <c r="E697" s="18" t="n">
        <v>178</v>
      </c>
      <c r="F697" s="18" t="n">
        <v>190</v>
      </c>
      <c r="G697" s="18">
        <f>F697-E697</f>
        <v/>
      </c>
      <c r="H697" s="29" t="n">
        <v>3</v>
      </c>
      <c r="I697" s="18">
        <f>E697*H697</f>
        <v/>
      </c>
      <c r="J697" s="18">
        <f>F697*H697</f>
        <v/>
      </c>
      <c r="K697" s="28">
        <f>IF(H697&lt;=0, "Out of Stock", IF(H697&lt;=5, "Low Stock", "In Stock"))</f>
        <v/>
      </c>
      <c r="L697" s="28" t="inlineStr">
        <is>
          <t>2025-07-20 09:50 AM</t>
        </is>
      </c>
    </row>
    <row r="698">
      <c r="A698" s="26" t="inlineStr">
        <is>
          <t>8961103600073</t>
        </is>
      </c>
      <c r="B698" s="10" t="inlineStr">
        <is>
          <t>TAPAL TEZDAM 170 GRAM</t>
        </is>
      </c>
      <c r="C698" s="10" t="inlineStr">
        <is>
          <t>Tea &amp; Coffee</t>
        </is>
      </c>
      <c r="D698" s="10" t="inlineStr">
        <is>
          <t>Tea</t>
        </is>
      </c>
      <c r="E698" s="13" t="n">
        <v>356</v>
      </c>
      <c r="F698" s="13" t="n">
        <v>380</v>
      </c>
      <c r="G698" s="13">
        <f>F698-E698</f>
        <v/>
      </c>
      <c r="H698" s="27" t="n">
        <v>1</v>
      </c>
      <c r="I698" s="13">
        <f>E698*H698</f>
        <v/>
      </c>
      <c r="J698" s="13">
        <f>F698*H698</f>
        <v/>
      </c>
      <c r="K698" s="26">
        <f>IF(H698&lt;=0, "Out of Stock", IF(H698&lt;=5, "Low Stock", "In Stock"))</f>
        <v/>
      </c>
      <c r="L698" s="26" t="inlineStr">
        <is>
          <t>2025-07-20 09:48 AM</t>
        </is>
      </c>
    </row>
    <row r="699">
      <c r="A699" s="28" t="inlineStr">
        <is>
          <t>8961103600110</t>
        </is>
      </c>
      <c r="B699" s="15" t="inlineStr">
        <is>
          <t>TAPAL TEZDAM 430G</t>
        </is>
      </c>
      <c r="C699" s="15" t="inlineStr">
        <is>
          <t>Tea &amp; Coffee</t>
        </is>
      </c>
      <c r="D699" s="15" t="inlineStr">
        <is>
          <t>Tea</t>
        </is>
      </c>
      <c r="E699" s="18" t="n">
        <v>845</v>
      </c>
      <c r="F699" s="18" t="n">
        <v>900</v>
      </c>
      <c r="G699" s="18">
        <f>F699-E699</f>
        <v/>
      </c>
      <c r="H699" s="29" t="n">
        <v>1</v>
      </c>
      <c r="I699" s="18">
        <f>E699*H699</f>
        <v/>
      </c>
      <c r="J699" s="18">
        <f>F699*H699</f>
        <v/>
      </c>
      <c r="K699" s="28">
        <f>IF(H699&lt;=0, "Out of Stock", IF(H699&lt;=5, "Low Stock", "In Stock"))</f>
        <v/>
      </c>
      <c r="L699" s="28" t="inlineStr">
        <is>
          <t>2025-07-13 08:43 AM</t>
        </is>
      </c>
    </row>
    <row r="700">
      <c r="A700" s="26" t="inlineStr">
        <is>
          <t>815096000885</t>
        </is>
      </c>
      <c r="B700" s="10" t="inlineStr">
        <is>
          <t>TAPAL TEZDAM 85GRAM</t>
        </is>
      </c>
      <c r="C700" s="10" t="inlineStr">
        <is>
          <t>Tea &amp; Coffee</t>
        </is>
      </c>
      <c r="D700" s="10" t="inlineStr">
        <is>
          <t>Tea</t>
        </is>
      </c>
      <c r="E700" s="13" t="n">
        <v>178</v>
      </c>
      <c r="F700" s="13" t="n">
        <v>190</v>
      </c>
      <c r="G700" s="13">
        <f>F700-E700</f>
        <v/>
      </c>
      <c r="H700" s="27" t="n">
        <v>0</v>
      </c>
      <c r="I700" s="13">
        <f>E700*H700</f>
        <v/>
      </c>
      <c r="J700" s="13">
        <f>F700*H700</f>
        <v/>
      </c>
      <c r="K700" s="26">
        <f>IF(H700&lt;=0, "Out of Stock", IF(H700&lt;=5, "Low Stock", "In Stock"))</f>
        <v/>
      </c>
      <c r="L700" s="26" t="inlineStr">
        <is>
          <t>2025-07-20 09:55 AM</t>
        </is>
      </c>
    </row>
    <row r="701">
      <c r="A701" s="28" t="inlineStr">
        <is>
          <t>8961103600059</t>
        </is>
      </c>
      <c r="B701" s="15" t="inlineStr">
        <is>
          <t>TEZDUM SACHEE R.S 10 D</t>
        </is>
      </c>
      <c r="C701" s="15" t="inlineStr">
        <is>
          <t>Tea &amp; Coffee</t>
        </is>
      </c>
      <c r="D701" s="15" t="inlineStr">
        <is>
          <t>Tea</t>
        </is>
      </c>
      <c r="E701" s="18" t="n">
        <v>8</v>
      </c>
      <c r="F701" s="18" t="n">
        <v>10</v>
      </c>
      <c r="G701" s="18">
        <f>F701-E701</f>
        <v/>
      </c>
      <c r="H701" s="29" t="n">
        <v>829</v>
      </c>
      <c r="I701" s="18">
        <f>E701*H701</f>
        <v/>
      </c>
      <c r="J701" s="18">
        <f>F701*H701</f>
        <v/>
      </c>
      <c r="K701" s="28">
        <f>IF(H701&lt;=0, "Out of Stock", IF(H701&lt;=5, "Low Stock", "In Stock"))</f>
        <v/>
      </c>
      <c r="L701" s="28" t="inlineStr">
        <is>
          <t>2025-07-15 04:09 PM</t>
        </is>
      </c>
    </row>
    <row r="702">
      <c r="A702" s="26" t="inlineStr">
        <is>
          <t>8961103600585</t>
        </is>
      </c>
      <c r="B702" s="10" t="inlineStr">
        <is>
          <t>Tapal Danedar 200g</t>
        </is>
      </c>
      <c r="C702" s="10" t="inlineStr">
        <is>
          <t>Tea &amp; Coffee</t>
        </is>
      </c>
      <c r="D702" s="10" t="inlineStr">
        <is>
          <t>Tea</t>
        </is>
      </c>
      <c r="E702" s="13" t="n">
        <v>345</v>
      </c>
      <c r="F702" s="13" t="n">
        <v>380</v>
      </c>
      <c r="G702" s="13">
        <f>F702-E702</f>
        <v/>
      </c>
      <c r="H702" s="27" t="n">
        <v>11</v>
      </c>
      <c r="I702" s="13">
        <f>E702*H702</f>
        <v/>
      </c>
      <c r="J702" s="13">
        <f>F702*H702</f>
        <v/>
      </c>
      <c r="K702" s="26">
        <f>IF(H702&lt;=0, "Out of Stock", IF(H702&lt;=5, "Low Stock", "In Stock"))</f>
        <v/>
      </c>
      <c r="L702" s="26" t="inlineStr">
        <is>
          <t>2025-07-13 08:27 AM</t>
        </is>
      </c>
    </row>
    <row r="703">
      <c r="A703" s="28" t="inlineStr">
        <is>
          <t>8964001086963</t>
        </is>
      </c>
      <c r="B703" s="15" t="inlineStr">
        <is>
          <t>BETTANI TEA 85 GRAM</t>
        </is>
      </c>
      <c r="C703" s="15" t="inlineStr">
        <is>
          <t>Tea &amp; Coffee</t>
        </is>
      </c>
      <c r="D703" s="15" t="inlineStr">
        <is>
          <t>Teaa</t>
        </is>
      </c>
      <c r="E703" s="18" t="n">
        <v>170</v>
      </c>
      <c r="F703" s="18" t="n">
        <v>190</v>
      </c>
      <c r="G703" s="18">
        <f>F703-E703</f>
        <v/>
      </c>
      <c r="H703" s="29" t="n">
        <v>4</v>
      </c>
      <c r="I703" s="18">
        <f>E703*H703</f>
        <v/>
      </c>
      <c r="J703" s="18">
        <f>F703*H703</f>
        <v/>
      </c>
      <c r="K703" s="28">
        <f>IF(H703&lt;=0, "Out of Stock", IF(H703&lt;=5, "Low Stock", "In Stock"))</f>
        <v/>
      </c>
      <c r="L703" s="28" t="inlineStr">
        <is>
          <t>2025-07-17 03:41 PM</t>
        </is>
      </c>
    </row>
    <row r="704">
      <c r="A704" s="26" t="inlineStr">
        <is>
          <t>JD123</t>
        </is>
      </c>
      <c r="B704" s="10" t="inlineStr">
        <is>
          <t>Test</t>
        </is>
      </c>
      <c r="C704" s="10" t="inlineStr">
        <is>
          <t>Test</t>
        </is>
      </c>
      <c r="D704" s="10" t="inlineStr">
        <is>
          <t>Test</t>
        </is>
      </c>
      <c r="E704" s="13" t="n">
        <v>150</v>
      </c>
      <c r="F704" s="13" t="n">
        <v>200</v>
      </c>
      <c r="G704" s="13">
        <f>F704-E704</f>
        <v/>
      </c>
      <c r="H704" s="27" t="n">
        <v>180</v>
      </c>
      <c r="I704" s="13">
        <f>E704*H704</f>
        <v/>
      </c>
      <c r="J704" s="13">
        <f>F704*H704</f>
        <v/>
      </c>
      <c r="K704" s="26">
        <f>IF(H704&lt;=0, "Out of Stock", IF(H704&lt;=5, "Low Stock", "In Stock"))</f>
        <v/>
      </c>
      <c r="L704" s="26" t="inlineStr">
        <is>
          <t>2025-08-05 11:53 AM</t>
        </is>
      </c>
    </row>
    <row r="705">
      <c r="A705" s="28" t="inlineStr">
        <is>
          <t>9785559933221</t>
        </is>
      </c>
      <c r="B705" s="15" t="inlineStr">
        <is>
          <t>RAHAT TISSUE ROLL</t>
        </is>
      </c>
      <c r="C705" s="15" t="inlineStr">
        <is>
          <t>Tissues &amp; Paper Goods</t>
        </is>
      </c>
      <c r="D705" s="15" t="inlineStr">
        <is>
          <t>Tissue</t>
        </is>
      </c>
      <c r="E705" s="18" t="n">
        <v>40</v>
      </c>
      <c r="F705" s="18" t="n">
        <v>50</v>
      </c>
      <c r="G705" s="18">
        <f>F705-E705</f>
        <v/>
      </c>
      <c r="H705" s="29" t="n">
        <v>449</v>
      </c>
      <c r="I705" s="18">
        <f>E705*H705</f>
        <v/>
      </c>
      <c r="J705" s="18">
        <f>F705*H705</f>
        <v/>
      </c>
      <c r="K705" s="28">
        <f>IF(H705&lt;=0, "Out of Stock", IF(H705&lt;=5, "Low Stock", "In Stock"))</f>
        <v/>
      </c>
      <c r="L705" s="28" t="inlineStr">
        <is>
          <t>2025-07-13 11:57 AM</t>
        </is>
      </c>
    </row>
    <row r="706">
      <c r="A706" s="26" t="inlineStr">
        <is>
          <t>8961006040020</t>
        </is>
      </c>
      <c r="B706" s="10" t="inlineStr">
        <is>
          <t>ROSE PETAL KITCHEN ROLL</t>
        </is>
      </c>
      <c r="C706" s="10" t="inlineStr">
        <is>
          <t>Tissues &amp; Paper Goods</t>
        </is>
      </c>
      <c r="D706" s="10" t="inlineStr">
        <is>
          <t>Tissue</t>
        </is>
      </c>
      <c r="E706" s="13" t="n">
        <v>250</v>
      </c>
      <c r="F706" s="13" t="n">
        <v>320</v>
      </c>
      <c r="G706" s="13">
        <f>F706-E706</f>
        <v/>
      </c>
      <c r="H706" s="27" t="n">
        <v>19</v>
      </c>
      <c r="I706" s="13">
        <f>E706*H706</f>
        <v/>
      </c>
      <c r="J706" s="13">
        <f>F706*H706</f>
        <v/>
      </c>
      <c r="K706" s="26">
        <f>IF(H706&lt;=0, "Out of Stock", IF(H706&lt;=5, "Low Stock", "In Stock"))</f>
        <v/>
      </c>
      <c r="L706" s="26" t="inlineStr">
        <is>
          <t>2025-07-13 12:02 PM</t>
        </is>
      </c>
    </row>
    <row r="707">
      <c r="A707" s="28" t="inlineStr">
        <is>
          <t>8961006010474</t>
        </is>
      </c>
      <c r="B707" s="15" t="inlineStr">
        <is>
          <t>ROSE PETAL RED PERFUMED</t>
        </is>
      </c>
      <c r="C707" s="15" t="inlineStr">
        <is>
          <t>Tissues &amp; Paper Goods</t>
        </is>
      </c>
      <c r="D707" s="15" t="inlineStr">
        <is>
          <t>Tissue</t>
        </is>
      </c>
      <c r="E707" s="18" t="n">
        <v>430</v>
      </c>
      <c r="F707" s="18" t="n">
        <v>460</v>
      </c>
      <c r="G707" s="18">
        <f>F707-E707</f>
        <v/>
      </c>
      <c r="H707" s="29" t="n">
        <v>12</v>
      </c>
      <c r="I707" s="18">
        <f>E707*H707</f>
        <v/>
      </c>
      <c r="J707" s="18">
        <f>F707*H707</f>
        <v/>
      </c>
      <c r="K707" s="28">
        <f>IF(H707&lt;=0, "Out of Stock", IF(H707&lt;=5, "Low Stock", "In Stock"))</f>
        <v/>
      </c>
      <c r="L707" s="28" t="inlineStr">
        <is>
          <t>2025-07-13 12:00 PM</t>
        </is>
      </c>
    </row>
    <row r="708">
      <c r="A708" s="26" t="inlineStr">
        <is>
          <t>8961006040044</t>
        </is>
      </c>
      <c r="B708" s="10" t="inlineStr">
        <is>
          <t>ROSE PETAL TISSUE BLK BOX</t>
        </is>
      </c>
      <c r="C708" s="10" t="inlineStr">
        <is>
          <t>Tissues &amp; Paper Goods</t>
        </is>
      </c>
      <c r="D708" s="10" t="inlineStr">
        <is>
          <t>Tissue</t>
        </is>
      </c>
      <c r="E708" s="13" t="n">
        <v>167.82</v>
      </c>
      <c r="F708" s="13" t="n">
        <v>250</v>
      </c>
      <c r="G708" s="13">
        <f>F708-E708</f>
        <v/>
      </c>
      <c r="H708" s="27" t="n">
        <v>48</v>
      </c>
      <c r="I708" s="13">
        <f>E708*H708</f>
        <v/>
      </c>
      <c r="J708" s="13">
        <f>F708*H708</f>
        <v/>
      </c>
      <c r="K708" s="26">
        <f>IF(H708&lt;=0, "Out of Stock", IF(H708&lt;=5, "Low Stock", "In Stock"))</f>
        <v/>
      </c>
      <c r="L708" s="26" t="inlineStr">
        <is>
          <t>2025-07-13 11:59 AM</t>
        </is>
      </c>
    </row>
    <row r="709">
      <c r="A709" s="28" t="inlineStr">
        <is>
          <t>5487538481221</t>
        </is>
      </c>
      <c r="B709" s="15" t="inlineStr">
        <is>
          <t>EGON SWEEP TOILET CLEANER</t>
        </is>
      </c>
      <c r="C709" s="15" t="inlineStr">
        <is>
          <t>Toilet Cleaner</t>
        </is>
      </c>
      <c r="D709" s="15" t="inlineStr">
        <is>
          <t>Toilet Cleaner</t>
        </is>
      </c>
      <c r="E709" s="18" t="n">
        <v>92</v>
      </c>
      <c r="F709" s="18" t="n">
        <v>180</v>
      </c>
      <c r="G709" s="18">
        <f>F709-E709</f>
        <v/>
      </c>
      <c r="H709" s="29" t="n">
        <v>1</v>
      </c>
      <c r="I709" s="18">
        <f>E709*H709</f>
        <v/>
      </c>
      <c r="J709" s="18">
        <f>F709*H709</f>
        <v/>
      </c>
      <c r="K709" s="28">
        <f>IF(H709&lt;=0, "Out of Stock", IF(H709&lt;=5, "Low Stock", "In Stock"))</f>
        <v/>
      </c>
      <c r="L709" s="28" t="inlineStr">
        <is>
          <t>2025-07-14 07:00 PM</t>
        </is>
      </c>
    </row>
    <row r="710">
      <c r="A710" s="26" t="inlineStr">
        <is>
          <t>100023555560</t>
        </is>
      </c>
      <c r="B710" s="10" t="inlineStr">
        <is>
          <t>RAPID CLASSIC MULTI PLUS 10X 500M</t>
        </is>
      </c>
      <c r="C710" s="10" t="inlineStr">
        <is>
          <t>Toilet Jel</t>
        </is>
      </c>
      <c r="D710" s="10" t="inlineStr">
        <is>
          <t>Toilet Jel</t>
        </is>
      </c>
      <c r="E710" s="13" t="n">
        <v>380</v>
      </c>
      <c r="F710" s="13" t="n">
        <v>425</v>
      </c>
      <c r="G710" s="13">
        <f>F710-E710</f>
        <v/>
      </c>
      <c r="H710" s="27" t="n">
        <v>6</v>
      </c>
      <c r="I710" s="13">
        <f>E710*H710</f>
        <v/>
      </c>
      <c r="J710" s="13">
        <f>F710*H710</f>
        <v/>
      </c>
      <c r="K710" s="26">
        <f>IF(H710&lt;=0, "Out of Stock", IF(H710&lt;=5, "Low Stock", "In Stock"))</f>
        <v/>
      </c>
      <c r="L710" s="26" t="inlineStr">
        <is>
          <t>2025-07-14 07:21 PM</t>
        </is>
      </c>
    </row>
    <row r="711">
      <c r="A711" s="28" t="inlineStr">
        <is>
          <t>100023555560-RP</t>
        </is>
      </c>
      <c r="B711" s="15" t="inlineStr">
        <is>
          <t>RAPID CLASSIC MULTI PLUS 10X 275</t>
        </is>
      </c>
      <c r="C711" s="15" t="inlineStr">
        <is>
          <t>Tolit Jel</t>
        </is>
      </c>
      <c r="D711" s="15" t="inlineStr">
        <is>
          <t>Tolit Jel</t>
        </is>
      </c>
      <c r="E711" s="18" t="n">
        <v>131.08</v>
      </c>
      <c r="F711" s="18" t="n">
        <v>230</v>
      </c>
      <c r="G711" s="18">
        <f>F711-E711</f>
        <v/>
      </c>
      <c r="H711" s="29" t="n">
        <v>49</v>
      </c>
      <c r="I711" s="18">
        <f>E711*H711</f>
        <v/>
      </c>
      <c r="J711" s="18">
        <f>F711*H711</f>
        <v/>
      </c>
      <c r="K711" s="28">
        <f>IF(H711&lt;=0, "Out of Stock", IF(H711&lt;=5, "Low Stock", "In Stock"))</f>
        <v/>
      </c>
      <c r="L711" s="28" t="inlineStr">
        <is>
          <t>2025-07-14 07:27 PM</t>
        </is>
      </c>
    </row>
    <row r="712">
      <c r="A712" s="26" t="inlineStr">
        <is>
          <t>6269732300053</t>
        </is>
      </c>
      <c r="B712" s="10" t="inlineStr">
        <is>
          <t>GERANAZ TOMATO PASTE</t>
        </is>
      </c>
      <c r="C712" s="10" t="inlineStr">
        <is>
          <t>Tomato Paste</t>
        </is>
      </c>
      <c r="D712" s="10" t="inlineStr">
        <is>
          <t>Tomato Paste</t>
        </is>
      </c>
      <c r="E712" s="13" t="n">
        <v>350</v>
      </c>
      <c r="F712" s="13" t="n">
        <v>500</v>
      </c>
      <c r="G712" s="13">
        <f>F712-E712</f>
        <v/>
      </c>
      <c r="H712" s="27" t="n">
        <v>7</v>
      </c>
      <c r="I712" s="13">
        <f>E712*H712</f>
        <v/>
      </c>
      <c r="J712" s="13">
        <f>F712*H712</f>
        <v/>
      </c>
      <c r="K712" s="26">
        <f>IF(H712&lt;=0, "Out of Stock", IF(H712&lt;=5, "Low Stock", "In Stock"))</f>
        <v/>
      </c>
      <c r="L712" s="26" t="inlineStr">
        <is>
          <t>2025-07-16 07:07 PM</t>
        </is>
      </c>
    </row>
    <row r="713">
      <c r="A713" s="28" t="inlineStr">
        <is>
          <t>6261623713089</t>
        </is>
      </c>
      <c r="B713" s="15" t="inlineStr">
        <is>
          <t>SUNDEL TOMATO PASTE</t>
        </is>
      </c>
      <c r="C713" s="15" t="inlineStr">
        <is>
          <t>Tomato Paste</t>
        </is>
      </c>
      <c r="D713" s="15" t="inlineStr">
        <is>
          <t>Tomato Paste</t>
        </is>
      </c>
      <c r="E713" s="18" t="n">
        <v>356</v>
      </c>
      <c r="F713" s="18" t="n">
        <v>500</v>
      </c>
      <c r="G713" s="18">
        <f>F713-E713</f>
        <v/>
      </c>
      <c r="H713" s="29" t="n">
        <v>29</v>
      </c>
      <c r="I713" s="18">
        <f>E713*H713</f>
        <v/>
      </c>
      <c r="J713" s="18">
        <f>F713*H713</f>
        <v/>
      </c>
      <c r="K713" s="28">
        <f>IF(H713&lt;=0, "Out of Stock", IF(H713&lt;=5, "Low Stock", "In Stock"))</f>
        <v/>
      </c>
      <c r="L713" s="28" t="inlineStr">
        <is>
          <t>2025-07-19 05:08 PM</t>
        </is>
      </c>
    </row>
    <row r="714">
      <c r="A714" s="26" t="inlineStr">
        <is>
          <t>6260496900442</t>
        </is>
      </c>
      <c r="B714" s="10" t="inlineStr">
        <is>
          <t>TAIMAZ TOMATO PASTE</t>
        </is>
      </c>
      <c r="C714" s="10" t="inlineStr">
        <is>
          <t>Tomato Paste</t>
        </is>
      </c>
      <c r="D714" s="10" t="inlineStr">
        <is>
          <t>Tomato Paste</t>
        </is>
      </c>
      <c r="E714" s="13" t="n">
        <v>355</v>
      </c>
      <c r="F714" s="13" t="n">
        <v>550</v>
      </c>
      <c r="G714" s="13">
        <f>F714-E714</f>
        <v/>
      </c>
      <c r="H714" s="27" t="n">
        <v>49</v>
      </c>
      <c r="I714" s="13">
        <f>E714*H714</f>
        <v/>
      </c>
      <c r="J714" s="13">
        <f>F714*H714</f>
        <v/>
      </c>
      <c r="K714" s="26">
        <f>IF(H714&lt;=0, "Out of Stock", IF(H714&lt;=5, "Low Stock", "In Stock"))</f>
        <v/>
      </c>
      <c r="L714" s="26" t="inlineStr">
        <is>
          <t>2025-07-29 05:34 PM</t>
        </is>
      </c>
    </row>
    <row r="715">
      <c r="A715" s="28" t="inlineStr">
        <is>
          <t>PROD-20250717-1340</t>
        </is>
      </c>
      <c r="B715" s="15" t="inlineStr">
        <is>
          <t>TRI PACK ADEEB FOODS</t>
        </is>
      </c>
      <c r="C715" s="15" t="inlineStr">
        <is>
          <t>Tri Pack</t>
        </is>
      </c>
      <c r="D715" s="15" t="inlineStr">
        <is>
          <t>Tri Pack</t>
        </is>
      </c>
      <c r="E715" s="18" t="n">
        <v>350</v>
      </c>
      <c r="F715" s="18" t="n">
        <v>450</v>
      </c>
      <c r="G715" s="18">
        <f>F715-E715</f>
        <v/>
      </c>
      <c r="H715" s="29" t="n">
        <v>6</v>
      </c>
      <c r="I715" s="18">
        <f>E715*H715</f>
        <v/>
      </c>
      <c r="J715" s="18">
        <f>F715*H715</f>
        <v/>
      </c>
      <c r="K715" s="28">
        <f>IF(H715&lt;=0, "Out of Stock", IF(H715&lt;=5, "Low Stock", "In Stock"))</f>
        <v/>
      </c>
      <c r="L715" s="28" t="inlineStr">
        <is>
          <t>2025-07-17 08:50 AM</t>
        </is>
      </c>
    </row>
    <row r="716">
      <c r="A716" s="26" t="inlineStr">
        <is>
          <t>161100256860023</t>
        </is>
      </c>
      <c r="B716" s="10" t="inlineStr">
        <is>
          <t>BARAZANDEH TUNA FISH</t>
        </is>
      </c>
      <c r="C716" s="10" t="inlineStr">
        <is>
          <t>Tuna Fish</t>
        </is>
      </c>
      <c r="D716" s="10" t="inlineStr">
        <is>
          <t>Tuna Fish</t>
        </is>
      </c>
      <c r="E716" s="13" t="n">
        <v>365</v>
      </c>
      <c r="F716" s="13" t="n">
        <v>500</v>
      </c>
      <c r="G716" s="13">
        <f>F716-E716</f>
        <v/>
      </c>
      <c r="H716" s="27" t="n">
        <v>2</v>
      </c>
      <c r="I716" s="13">
        <f>E716*H716</f>
        <v/>
      </c>
      <c r="J716" s="13">
        <f>F716*H716</f>
        <v/>
      </c>
      <c r="K716" s="26">
        <f>IF(H716&lt;=0, "Out of Stock", IF(H716&lt;=5, "Low Stock", "In Stock"))</f>
        <v/>
      </c>
      <c r="L716" s="26" t="inlineStr">
        <is>
          <t>2025-07-16 07:05 PM</t>
        </is>
      </c>
    </row>
    <row r="717">
      <c r="A717" s="28" t="inlineStr">
        <is>
          <t>6261293500071</t>
        </is>
      </c>
      <c r="B717" s="15" t="inlineStr">
        <is>
          <t>RASHNO TUNA FISH</t>
        </is>
      </c>
      <c r="C717" s="15" t="inlineStr">
        <is>
          <t>Tuna Fish</t>
        </is>
      </c>
      <c r="D717" s="15" t="inlineStr">
        <is>
          <t>Tuna Fish</t>
        </is>
      </c>
      <c r="E717" s="18" t="n">
        <v>308</v>
      </c>
      <c r="F717" s="18" t="n">
        <v>370</v>
      </c>
      <c r="G717" s="18">
        <f>F717-E717</f>
        <v/>
      </c>
      <c r="H717" s="29" t="n">
        <v>14</v>
      </c>
      <c r="I717" s="18">
        <f>E717*H717</f>
        <v/>
      </c>
      <c r="J717" s="18">
        <f>F717*H717</f>
        <v/>
      </c>
      <c r="K717" s="28">
        <f>IF(H717&lt;=0, "Out of Stock", IF(H717&lt;=5, "Low Stock", "In Stock"))</f>
        <v/>
      </c>
      <c r="L717" s="28" t="inlineStr">
        <is>
          <t>2025-07-16 07:00 PM</t>
        </is>
      </c>
    </row>
    <row r="718">
      <c r="A718" s="26" t="inlineStr">
        <is>
          <t>8964001311911</t>
        </is>
      </c>
      <c r="B718" s="10" t="inlineStr">
        <is>
          <t>PAASTA VERMICELLI COLOURED</t>
        </is>
      </c>
      <c r="C718" s="10" t="inlineStr">
        <is>
          <t>Vermicelli</t>
        </is>
      </c>
      <c r="D718" s="10" t="inlineStr">
        <is>
          <t>Vermicelli</t>
        </is>
      </c>
      <c r="E718" s="13" t="n">
        <v>42</v>
      </c>
      <c r="F718" s="13" t="n">
        <v>70</v>
      </c>
      <c r="G718" s="13">
        <f>F718-E718</f>
        <v/>
      </c>
      <c r="H718" s="27" t="n">
        <v>44</v>
      </c>
      <c r="I718" s="13">
        <f>E718*H718</f>
        <v/>
      </c>
      <c r="J718" s="13">
        <f>F718*H718</f>
        <v/>
      </c>
      <c r="K718" s="26">
        <f>IF(H718&lt;=0, "Out of Stock", IF(H718&lt;=5, "Low Stock", "In Stock"))</f>
        <v/>
      </c>
      <c r="L718" s="26" t="inlineStr">
        <is>
          <t>2025-07-18 02:10 PM</t>
        </is>
      </c>
    </row>
    <row r="719">
      <c r="A719" s="28" t="inlineStr">
        <is>
          <t>8961102322211</t>
        </is>
      </c>
      <c r="B719" s="15" t="inlineStr">
        <is>
          <t>SUNLIGHT VERMICELLI 150G</t>
        </is>
      </c>
      <c r="C719" s="15" t="inlineStr">
        <is>
          <t>Vermicelli</t>
        </is>
      </c>
      <c r="D719" s="15" t="inlineStr">
        <is>
          <t>Vermicelli</t>
        </is>
      </c>
      <c r="E719" s="18" t="n">
        <v>42</v>
      </c>
      <c r="F719" s="18" t="n">
        <v>70</v>
      </c>
      <c r="G719" s="18">
        <f>F719-E719</f>
        <v/>
      </c>
      <c r="H719" s="29" t="n">
        <v>40</v>
      </c>
      <c r="I719" s="18">
        <f>E719*H719</f>
        <v/>
      </c>
      <c r="J719" s="18">
        <f>F719*H719</f>
        <v/>
      </c>
      <c r="K719" s="28">
        <f>IF(H719&lt;=0, "Out of Stock", IF(H719&lt;=5, "Low Stock", "In Stock"))</f>
        <v/>
      </c>
      <c r="L719" s="28" t="inlineStr">
        <is>
          <t>2025-07-18 02:13 PM</t>
        </is>
      </c>
    </row>
    <row r="720">
      <c r="A720" s="26" t="inlineStr">
        <is>
          <t>6281057119233</t>
        </is>
      </c>
      <c r="B720" s="10" t="inlineStr">
        <is>
          <t>APPLE VINEGAR</t>
        </is>
      </c>
      <c r="C720" s="10" t="inlineStr">
        <is>
          <t>Vinegar</t>
        </is>
      </c>
      <c r="D720" s="10" t="inlineStr">
        <is>
          <t>Vinegar</t>
        </is>
      </c>
      <c r="E720" s="13" t="n">
        <v>120</v>
      </c>
      <c r="F720" s="13" t="n">
        <v>150</v>
      </c>
      <c r="G720" s="13">
        <f>F720-E720</f>
        <v/>
      </c>
      <c r="H720" s="27" t="n">
        <v>3</v>
      </c>
      <c r="I720" s="13">
        <f>E720*H720</f>
        <v/>
      </c>
      <c r="J720" s="13">
        <f>F720*H720</f>
        <v/>
      </c>
      <c r="K720" s="26">
        <f>IF(H720&lt;=0, "Out of Stock", IF(H720&lt;=5, "Low Stock", "In Stock"))</f>
        <v/>
      </c>
      <c r="L720" s="26" t="inlineStr">
        <is>
          <t>2025-07-18 06:59 PM</t>
        </is>
      </c>
    </row>
    <row r="721">
      <c r="A721" s="28" t="inlineStr">
        <is>
          <t>7793078600014</t>
        </is>
      </c>
      <c r="B721" s="15" t="inlineStr">
        <is>
          <t>PHOOL VINEGAR</t>
        </is>
      </c>
      <c r="C721" s="15" t="inlineStr">
        <is>
          <t>Vinegar</t>
        </is>
      </c>
      <c r="D721" s="15" t="inlineStr">
        <is>
          <t>Vinegar</t>
        </is>
      </c>
      <c r="E721" s="18" t="n">
        <v>120</v>
      </c>
      <c r="F721" s="18" t="n">
        <v>170</v>
      </c>
      <c r="G721" s="18">
        <f>F721-E721</f>
        <v/>
      </c>
      <c r="H721" s="29" t="n">
        <v>10</v>
      </c>
      <c r="I721" s="18">
        <f>E721*H721</f>
        <v/>
      </c>
      <c r="J721" s="18">
        <f>F721*H721</f>
        <v/>
      </c>
      <c r="K721" s="28">
        <f>IF(H721&lt;=0, "Out of Stock", IF(H721&lt;=5, "Low Stock", "In Stock"))</f>
        <v/>
      </c>
      <c r="L721" s="28" t="inlineStr">
        <is>
          <t>2025-07-18 06:57 PM</t>
        </is>
      </c>
    </row>
    <row r="722">
      <c r="A722" s="26" t="inlineStr">
        <is>
          <t>PROD-20250721-222711-NEW</t>
        </is>
      </c>
      <c r="B722" s="10" t="inlineStr">
        <is>
          <t>KASHMIRE WATER 19 LTR</t>
        </is>
      </c>
      <c r="C722" s="10" t="inlineStr">
        <is>
          <t>Water</t>
        </is>
      </c>
      <c r="D722" s="10" t="inlineStr">
        <is>
          <t>Water</t>
        </is>
      </c>
      <c r="E722" s="13" t="n">
        <v>90</v>
      </c>
      <c r="F722" s="13" t="n">
        <v>150</v>
      </c>
      <c r="G722" s="13">
        <f>F722-E722</f>
        <v/>
      </c>
      <c r="H722" s="27" t="n">
        <v>24</v>
      </c>
      <c r="I722" s="13">
        <f>E722*H722</f>
        <v/>
      </c>
      <c r="J722" s="13">
        <f>F722*H722</f>
        <v/>
      </c>
      <c r="K722" s="26">
        <f>IF(H722&lt;=0, "Out of Stock", IF(H722&lt;=5, "Low Stock", "In Stock"))</f>
        <v/>
      </c>
      <c r="L722" s="26" t="inlineStr">
        <is>
          <t>2025-07-21 05:28 PM</t>
        </is>
      </c>
    </row>
    <row r="723">
      <c r="A723" s="28" t="inlineStr">
        <is>
          <t>8780201374446</t>
        </is>
      </c>
      <c r="B723" s="15" t="inlineStr">
        <is>
          <t>NAIN DRINKING WATER 1.5LTR</t>
        </is>
      </c>
      <c r="C723" s="15" t="inlineStr">
        <is>
          <t>Water</t>
        </is>
      </c>
      <c r="D723" s="15" t="inlineStr">
        <is>
          <t>Water</t>
        </is>
      </c>
      <c r="E723" s="18" t="n">
        <v>35</v>
      </c>
      <c r="F723" s="18" t="n">
        <v>80</v>
      </c>
      <c r="G723" s="18">
        <f>F723-E723</f>
        <v/>
      </c>
      <c r="H723" s="29" t="n">
        <v>79</v>
      </c>
      <c r="I723" s="18">
        <f>E723*H723</f>
        <v/>
      </c>
      <c r="J723" s="18">
        <f>F723*H723</f>
        <v/>
      </c>
      <c r="K723" s="28">
        <f>IF(H723&lt;=0, "Out of Stock", IF(H723&lt;=5, "Low Stock", "In Stock"))</f>
        <v/>
      </c>
      <c r="L723" s="28" t="inlineStr">
        <is>
          <t>2025-07-16 11:41 AM</t>
        </is>
      </c>
    </row>
    <row r="724">
      <c r="A724" s="26" t="inlineStr">
        <is>
          <t>8780201374453</t>
        </is>
      </c>
      <c r="B724" s="10" t="inlineStr">
        <is>
          <t>NAIN WATER SM</t>
        </is>
      </c>
      <c r="C724" s="10" t="inlineStr">
        <is>
          <t>Water</t>
        </is>
      </c>
      <c r="D724" s="10" t="inlineStr">
        <is>
          <t>Water</t>
        </is>
      </c>
      <c r="E724" s="13" t="n">
        <v>18</v>
      </c>
      <c r="F724" s="13" t="n">
        <v>40</v>
      </c>
      <c r="G724" s="13">
        <f>F724-E724</f>
        <v/>
      </c>
      <c r="H724" s="27" t="n">
        <v>125</v>
      </c>
      <c r="I724" s="13">
        <f>E724*H724</f>
        <v/>
      </c>
      <c r="J724" s="13">
        <f>F724*H724</f>
        <v/>
      </c>
      <c r="K724" s="26">
        <f>IF(H724&lt;=0, "Out of Stock", IF(H724&lt;=5, "Low Stock", "In Stock"))</f>
        <v/>
      </c>
      <c r="L724" s="26" t="inlineStr">
        <is>
          <t>2025-07-16 11:47 AM</t>
        </is>
      </c>
    </row>
    <row r="725">
      <c r="A725" s="28" t="inlineStr">
        <is>
          <t>PROD-20250718-213908-NEW</t>
        </is>
      </c>
      <c r="B725" s="15" t="inlineStr">
        <is>
          <t>SAAD 6 LTR WATER</t>
        </is>
      </c>
      <c r="C725" s="15" t="inlineStr">
        <is>
          <t>Water</t>
        </is>
      </c>
      <c r="D725" s="15" t="inlineStr">
        <is>
          <t>Water</t>
        </is>
      </c>
      <c r="E725" s="18" t="n">
        <v>90</v>
      </c>
      <c r="F725" s="18" t="n">
        <v>130</v>
      </c>
      <c r="G725" s="18">
        <f>F725-E725</f>
        <v/>
      </c>
      <c r="H725" s="29" t="n">
        <v>3</v>
      </c>
      <c r="I725" s="18">
        <f>E725*H725</f>
        <v/>
      </c>
      <c r="J725" s="18">
        <f>F725*H725</f>
        <v/>
      </c>
      <c r="K725" s="28">
        <f>IF(H725&lt;=0, "Out of Stock", IF(H725&lt;=5, "Low Stock", "In Stock"))</f>
        <v/>
      </c>
      <c r="L725" s="28" t="inlineStr">
        <is>
          <t>2025-07-18 04:40 PM</t>
        </is>
      </c>
    </row>
    <row r="726">
      <c r="A726" s="26" t="inlineStr">
        <is>
          <t>PROD-20250718-205436-NEW</t>
        </is>
      </c>
      <c r="B726" s="10" t="inlineStr">
        <is>
          <t>WATER 12 LTR SAAD</t>
        </is>
      </c>
      <c r="C726" s="10" t="inlineStr">
        <is>
          <t>Water</t>
        </is>
      </c>
      <c r="D726" s="10" t="inlineStr">
        <is>
          <t>Water</t>
        </is>
      </c>
      <c r="E726" s="13" t="n">
        <v>190</v>
      </c>
      <c r="F726" s="13" t="n">
        <v>260</v>
      </c>
      <c r="G726" s="13">
        <f>F726-E726</f>
        <v/>
      </c>
      <c r="H726" s="27" t="n">
        <v>5</v>
      </c>
      <c r="I726" s="13">
        <f>E726*H726</f>
        <v/>
      </c>
      <c r="J726" s="13">
        <f>F726*H726</f>
        <v/>
      </c>
      <c r="K726" s="26">
        <f>IF(H726&lt;=0, "Out of Stock", IF(H726&lt;=5, "Low Stock", "In Stock"))</f>
        <v/>
      </c>
      <c r="L726" s="26" t="inlineStr">
        <is>
          <t>2025-07-18 03:55 PM</t>
        </is>
      </c>
    </row>
    <row r="727">
      <c r="A727" s="28" t="inlineStr">
        <is>
          <t>PROD-20250718-193105-NEW</t>
        </is>
      </c>
      <c r="B727" s="15" t="inlineStr">
        <is>
          <t>WATER SAAD BIG BOTTLE 19 LTR</t>
        </is>
      </c>
      <c r="C727" s="15" t="inlineStr">
        <is>
          <t>Water</t>
        </is>
      </c>
      <c r="D727" s="15" t="inlineStr">
        <is>
          <t>Water</t>
        </is>
      </c>
      <c r="E727" s="18" t="n">
        <v>100</v>
      </c>
      <c r="F727" s="18" t="n">
        <v>150</v>
      </c>
      <c r="G727" s="18">
        <f>F727-E727</f>
        <v/>
      </c>
      <c r="H727" s="29" t="n">
        <v>6</v>
      </c>
      <c r="I727" s="18">
        <f>E727*H727</f>
        <v/>
      </c>
      <c r="J727" s="18">
        <f>F727*H727</f>
        <v/>
      </c>
      <c r="K727" s="28">
        <f>IF(H727&lt;=0, "Out of Stock", IF(H727&lt;=5, "Low Stock", "In Stock"))</f>
        <v/>
      </c>
      <c r="L727" s="28" t="inlineStr">
        <is>
          <t>2025-07-18 02:32 PM</t>
        </is>
      </c>
    </row>
    <row r="728">
      <c r="A728" s="26" t="inlineStr">
        <is>
          <t>5000108478119</t>
        </is>
      </c>
      <c r="B728" s="10" t="inlineStr">
        <is>
          <t>Quaker White Oats 500g</t>
        </is>
      </c>
      <c r="C728" s="10" t="inlineStr">
        <is>
          <t>White Oats</t>
        </is>
      </c>
      <c r="D728" s="10" t="inlineStr">
        <is>
          <t>White Oats</t>
        </is>
      </c>
      <c r="E728" s="13" t="n">
        <v>900</v>
      </c>
      <c r="F728" s="13" t="n">
        <v>1100</v>
      </c>
      <c r="G728" s="13">
        <f>F728-E728</f>
        <v/>
      </c>
      <c r="H728" s="27" t="n">
        <v>9</v>
      </c>
      <c r="I728" s="13">
        <f>E728*H728</f>
        <v/>
      </c>
      <c r="J728" s="13">
        <f>F728*H728</f>
        <v/>
      </c>
      <c r="K728" s="26">
        <f>IF(H728&lt;=0, "Out of Stock", IF(H728&lt;=5, "Low Stock", "In Stock"))</f>
        <v/>
      </c>
      <c r="L728" s="26" t="inlineStr">
        <is>
          <t>2025-07-12 05:26 PM</t>
        </is>
      </c>
    </row>
    <row r="729">
      <c r="A729" s="28" t="inlineStr">
        <is>
          <t>4794236289006</t>
        </is>
      </c>
      <c r="B729" s="15" t="inlineStr">
        <is>
          <t>White Oats 1000g</t>
        </is>
      </c>
      <c r="C729" s="15" t="inlineStr">
        <is>
          <t>White Oats</t>
        </is>
      </c>
      <c r="D729" s="15" t="inlineStr">
        <is>
          <t>White Oats</t>
        </is>
      </c>
      <c r="E729" s="18" t="n">
        <v>900</v>
      </c>
      <c r="F729" s="18" t="n">
        <v>1200</v>
      </c>
      <c r="G729" s="18">
        <f>F729-E729</f>
        <v/>
      </c>
      <c r="H729" s="29" t="n">
        <v>2</v>
      </c>
      <c r="I729" s="18">
        <f>E729*H729</f>
        <v/>
      </c>
      <c r="J729" s="18">
        <f>F729*H729</f>
        <v/>
      </c>
      <c r="K729" s="28">
        <f>IF(H729&lt;=0, "Out of Stock", IF(H729&lt;=5, "Low Stock", "In Stock"))</f>
        <v/>
      </c>
      <c r="L729" s="28" t="inlineStr">
        <is>
          <t>2025-07-12 05:27 PM</t>
        </is>
      </c>
    </row>
    <row r="730">
      <c r="A730" s="26" t="inlineStr">
        <is>
          <t>6936965445683</t>
        </is>
      </c>
      <c r="B730" s="10" t="inlineStr">
        <is>
          <t>CORRECTION PEN  WHITENER</t>
        </is>
      </c>
      <c r="C730" s="10" t="inlineStr">
        <is>
          <t>Whitener</t>
        </is>
      </c>
      <c r="D730" s="10" t="inlineStr">
        <is>
          <t>Whitener</t>
        </is>
      </c>
      <c r="E730" s="13" t="n">
        <v>70</v>
      </c>
      <c r="F730" s="13" t="n">
        <v>100</v>
      </c>
      <c r="G730" s="13">
        <f>F730-E730</f>
        <v/>
      </c>
      <c r="H730" s="27" t="n">
        <v>18</v>
      </c>
      <c r="I730" s="13">
        <f>E730*H730</f>
        <v/>
      </c>
      <c r="J730" s="13">
        <f>F730*H730</f>
        <v/>
      </c>
      <c r="K730" s="26">
        <f>IF(H730&lt;=0, "Out of Stock", IF(H730&lt;=5, "Low Stock", "In Stock"))</f>
        <v/>
      </c>
      <c r="L730" s="26" t="inlineStr">
        <is>
          <t>2025-07-13 06:42 PM</t>
        </is>
      </c>
    </row>
    <row r="731">
      <c r="A731" s="20" t="n"/>
      <c r="B731" s="20" t="inlineStr">
        <is>
          <t>TOTALS</t>
        </is>
      </c>
      <c r="C731" s="20" t="n"/>
      <c r="D731" s="20" t="n"/>
      <c r="E731" s="30" t="n"/>
      <c r="F731" s="30" t="n"/>
      <c r="G731" s="30" t="n"/>
      <c r="H731" s="31">
        <f>SUM(H4:H730)</f>
        <v/>
      </c>
      <c r="I731" s="23">
        <f>SUM(I4:I730)</f>
        <v/>
      </c>
      <c r="J731" s="23">
        <f>SUM(J4:J730)</f>
        <v/>
      </c>
      <c r="K731" s="20" t="n"/>
      <c r="L731" s="20" t="n"/>
    </row>
  </sheetData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2026-08-14T15:37:33Z</dcterms:created>
  <dcterms:modified xmlns:dcterms="http://purl.org/dc/terms/" xmlns:xsi="http://www.w3.org/2001/XMLSchema-instance" xsi:type="dcterms:W3CDTF">2026-08-14T15:37:34Z</dcterms:modified>
</cp:coreProperties>
</file>